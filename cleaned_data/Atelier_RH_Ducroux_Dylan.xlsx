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ylan\Desktop\FORMATION EXCEL\M9\EXERCICE\"/>
    </mc:Choice>
  </mc:AlternateContent>
  <xr:revisionPtr revIDLastSave="0" documentId="13_ncr:1_{B3D17DC2-C433-4A63-A84F-4FA35E665890}" xr6:coauthVersionLast="47" xr6:coauthVersionMax="47" xr10:uidLastSave="{00000000-0000-0000-0000-000000000000}"/>
  <bookViews>
    <workbookView xWindow="-120" yWindow="-120" windowWidth="38640" windowHeight="21120" xr2:uid="{D06E8ED6-A81B-45CD-BC25-EDA238946288}"/>
  </bookViews>
  <sheets>
    <sheet name="personel" sheetId="3" r:id="rId1"/>
    <sheet name="absences" sheetId="4" r:id="rId2"/>
    <sheet name="formations" sheetId="5" r:id="rId3"/>
    <sheet name="entretiens" sheetId="6" r:id="rId4"/>
    <sheet name="turnover" sheetId="7" r:id="rId5"/>
    <sheet name="Indicateurs RH" sheetId="1" r:id="rId6"/>
    <sheet name="Synthèse_Absences" sheetId="8" r:id="rId7"/>
    <sheet name="Tableau_de_bord" sheetId="9" r:id="rId8"/>
    <sheet name="TCD abs-mois" sheetId="10" r:id="rId9"/>
  </sheets>
  <definedNames>
    <definedName name="DonnéesExternes_1" localSheetId="1" hidden="1">absences!$A$1:$E$357</definedName>
    <definedName name="DonnéesExternes_1" localSheetId="3" hidden="1">entretiens!$A$1:$D$251</definedName>
    <definedName name="DonnéesExternes_1" localSheetId="2" hidden="1">formations!$A$1:$F$136</definedName>
    <definedName name="DonnéesExternes_1" localSheetId="0" hidden="1">personel!$A$1:$J$251</definedName>
    <definedName name="DonnéesExternes_1" localSheetId="4" hidden="1">turnover!$A$1:$D$31</definedName>
    <definedName name="_xlnm.Print_Titles" localSheetId="6">Synthèse_Absences!$188:$189</definedName>
    <definedName name="Segment_Service">#N/A</definedName>
    <definedName name="Segment_Sexe">#N/A</definedName>
    <definedName name="Segment_Site">#N/A</definedName>
    <definedName name="Segment_Statut">#N/A</definedName>
    <definedName name="_xlnm.Print_Area" localSheetId="6">Taux_absentéisme_service_mois[#All]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9" l="1"/>
  <c r="F8" i="9"/>
  <c r="M9" i="9"/>
  <c r="M10" i="9"/>
  <c r="M11" i="9"/>
  <c r="M12" i="9"/>
  <c r="M13" i="9"/>
  <c r="M14" i="9"/>
  <c r="L14" i="9"/>
  <c r="K14" i="9"/>
  <c r="L13" i="9"/>
  <c r="K13" i="9"/>
  <c r="L12" i="9"/>
  <c r="K12" i="9"/>
  <c r="L11" i="9"/>
  <c r="K11" i="9"/>
  <c r="L10" i="9"/>
  <c r="K10" i="9"/>
  <c r="L9" i="9"/>
  <c r="K9" i="9"/>
  <c r="D36" i="7"/>
  <c r="D37" i="7"/>
  <c r="D38" i="7"/>
  <c r="D39" i="7"/>
  <c r="D40" i="7"/>
  <c r="D41" i="7"/>
  <c r="C36" i="7"/>
  <c r="C37" i="7"/>
  <c r="C38" i="7"/>
  <c r="C39" i="7"/>
  <c r="C40" i="7"/>
  <c r="C41" i="7"/>
  <c r="B36" i="7"/>
  <c r="B37" i="7"/>
  <c r="B38" i="7"/>
  <c r="B39" i="7"/>
  <c r="B40" i="7"/>
  <c r="B41" i="7"/>
  <c r="I4" i="6"/>
  <c r="I5" i="6"/>
  <c r="I6" i="6"/>
  <c r="I7" i="6"/>
  <c r="I8" i="6"/>
  <c r="E2" i="6"/>
  <c r="F2" i="6" s="1"/>
  <c r="E3" i="6"/>
  <c r="F3" i="6" s="1"/>
  <c r="E4" i="6"/>
  <c r="F4" i="6" s="1"/>
  <c r="E5" i="6"/>
  <c r="F5" i="6" s="1"/>
  <c r="E6" i="6"/>
  <c r="F6" i="6" s="1"/>
  <c r="E7" i="6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F32" i="6" s="1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0" i="6"/>
  <c r="F40" i="6" s="1"/>
  <c r="E41" i="6"/>
  <c r="F41" i="6" s="1"/>
  <c r="E42" i="6"/>
  <c r="F42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49" i="6"/>
  <c r="F49" i="6" s="1"/>
  <c r="E50" i="6"/>
  <c r="F50" i="6" s="1"/>
  <c r="E51" i="6"/>
  <c r="F51" i="6" s="1"/>
  <c r="E52" i="6"/>
  <c r="F52" i="6" s="1"/>
  <c r="E53" i="6"/>
  <c r="F53" i="6" s="1"/>
  <c r="E54" i="6"/>
  <c r="F54" i="6" s="1"/>
  <c r="E55" i="6"/>
  <c r="F55" i="6" s="1"/>
  <c r="E56" i="6"/>
  <c r="F56" i="6" s="1"/>
  <c r="E57" i="6"/>
  <c r="F57" i="6" s="1"/>
  <c r="E58" i="6"/>
  <c r="F58" i="6" s="1"/>
  <c r="E59" i="6"/>
  <c r="F59" i="6" s="1"/>
  <c r="E60" i="6"/>
  <c r="F60" i="6" s="1"/>
  <c r="E61" i="6"/>
  <c r="F61" i="6" s="1"/>
  <c r="E62" i="6"/>
  <c r="F62" i="6" s="1"/>
  <c r="E63" i="6"/>
  <c r="F63" i="6" s="1"/>
  <c r="E64" i="6"/>
  <c r="F64" i="6" s="1"/>
  <c r="E65" i="6"/>
  <c r="F65" i="6" s="1"/>
  <c r="E66" i="6"/>
  <c r="F66" i="6" s="1"/>
  <c r="E67" i="6"/>
  <c r="F67" i="6" s="1"/>
  <c r="E68" i="6"/>
  <c r="F68" i="6" s="1"/>
  <c r="E69" i="6"/>
  <c r="F69" i="6" s="1"/>
  <c r="E70" i="6"/>
  <c r="F70" i="6" s="1"/>
  <c r="E71" i="6"/>
  <c r="F71" i="6" s="1"/>
  <c r="E72" i="6"/>
  <c r="F72" i="6" s="1"/>
  <c r="E73" i="6"/>
  <c r="F73" i="6" s="1"/>
  <c r="E74" i="6"/>
  <c r="F74" i="6" s="1"/>
  <c r="E75" i="6"/>
  <c r="F75" i="6" s="1"/>
  <c r="E76" i="6"/>
  <c r="F76" i="6" s="1"/>
  <c r="E77" i="6"/>
  <c r="F77" i="6" s="1"/>
  <c r="E78" i="6"/>
  <c r="F78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F85" i="6" s="1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F96" i="6" s="1"/>
  <c r="E97" i="6"/>
  <c r="F97" i="6" s="1"/>
  <c r="E98" i="6"/>
  <c r="F98" i="6" s="1"/>
  <c r="E99" i="6"/>
  <c r="F99" i="6" s="1"/>
  <c r="E100" i="6"/>
  <c r="F100" i="6" s="1"/>
  <c r="E101" i="6"/>
  <c r="F101" i="6" s="1"/>
  <c r="E102" i="6"/>
  <c r="F102" i="6" s="1"/>
  <c r="E103" i="6"/>
  <c r="F103" i="6" s="1"/>
  <c r="E104" i="6"/>
  <c r="F104" i="6" s="1"/>
  <c r="E105" i="6"/>
  <c r="F105" i="6" s="1"/>
  <c r="E106" i="6"/>
  <c r="F106" i="6" s="1"/>
  <c r="E107" i="6"/>
  <c r="F107" i="6" s="1"/>
  <c r="E108" i="6"/>
  <c r="F108" i="6" s="1"/>
  <c r="E109" i="6"/>
  <c r="F109" i="6" s="1"/>
  <c r="E110" i="6"/>
  <c r="F110" i="6" s="1"/>
  <c r="E111" i="6"/>
  <c r="F111" i="6" s="1"/>
  <c r="E112" i="6"/>
  <c r="F112" i="6" s="1"/>
  <c r="E113" i="6"/>
  <c r="F113" i="6" s="1"/>
  <c r="E114" i="6"/>
  <c r="F114" i="6" s="1"/>
  <c r="E115" i="6"/>
  <c r="F115" i="6" s="1"/>
  <c r="E116" i="6"/>
  <c r="F116" i="6" s="1"/>
  <c r="E117" i="6"/>
  <c r="F117" i="6" s="1"/>
  <c r="E118" i="6"/>
  <c r="F118" i="6" s="1"/>
  <c r="E119" i="6"/>
  <c r="F119" i="6" s="1"/>
  <c r="E120" i="6"/>
  <c r="F120" i="6" s="1"/>
  <c r="E121" i="6"/>
  <c r="F121" i="6" s="1"/>
  <c r="E122" i="6"/>
  <c r="F122" i="6" s="1"/>
  <c r="E123" i="6"/>
  <c r="F123" i="6" s="1"/>
  <c r="E124" i="6"/>
  <c r="F124" i="6" s="1"/>
  <c r="E125" i="6"/>
  <c r="F125" i="6" s="1"/>
  <c r="E126" i="6"/>
  <c r="F126" i="6" s="1"/>
  <c r="E127" i="6"/>
  <c r="F127" i="6" s="1"/>
  <c r="E128" i="6"/>
  <c r="F128" i="6" s="1"/>
  <c r="E129" i="6"/>
  <c r="F129" i="6" s="1"/>
  <c r="E130" i="6"/>
  <c r="F130" i="6" s="1"/>
  <c r="E131" i="6"/>
  <c r="F131" i="6" s="1"/>
  <c r="E132" i="6"/>
  <c r="F132" i="6" s="1"/>
  <c r="E133" i="6"/>
  <c r="F133" i="6" s="1"/>
  <c r="E134" i="6"/>
  <c r="F134" i="6" s="1"/>
  <c r="E135" i="6"/>
  <c r="F135" i="6" s="1"/>
  <c r="E136" i="6"/>
  <c r="F136" i="6" s="1"/>
  <c r="E137" i="6"/>
  <c r="F137" i="6" s="1"/>
  <c r="E138" i="6"/>
  <c r="F138" i="6" s="1"/>
  <c r="E139" i="6"/>
  <c r="F139" i="6" s="1"/>
  <c r="E140" i="6"/>
  <c r="F140" i="6" s="1"/>
  <c r="E141" i="6"/>
  <c r="F141" i="6" s="1"/>
  <c r="E142" i="6"/>
  <c r="F142" i="6" s="1"/>
  <c r="E143" i="6"/>
  <c r="F143" i="6" s="1"/>
  <c r="E144" i="6"/>
  <c r="F144" i="6" s="1"/>
  <c r="E145" i="6"/>
  <c r="F145" i="6" s="1"/>
  <c r="E146" i="6"/>
  <c r="F146" i="6" s="1"/>
  <c r="E147" i="6"/>
  <c r="F147" i="6" s="1"/>
  <c r="E148" i="6"/>
  <c r="F148" i="6" s="1"/>
  <c r="E149" i="6"/>
  <c r="F149" i="6" s="1"/>
  <c r="E150" i="6"/>
  <c r="F150" i="6" s="1"/>
  <c r="E151" i="6"/>
  <c r="F151" i="6" s="1"/>
  <c r="E152" i="6"/>
  <c r="F152" i="6" s="1"/>
  <c r="E153" i="6"/>
  <c r="F153" i="6" s="1"/>
  <c r="E154" i="6"/>
  <c r="F154" i="6" s="1"/>
  <c r="E155" i="6"/>
  <c r="F155" i="6" s="1"/>
  <c r="E156" i="6"/>
  <c r="F156" i="6" s="1"/>
  <c r="E157" i="6"/>
  <c r="F157" i="6" s="1"/>
  <c r="E158" i="6"/>
  <c r="F158" i="6" s="1"/>
  <c r="E159" i="6"/>
  <c r="F159" i="6" s="1"/>
  <c r="E160" i="6"/>
  <c r="F160" i="6" s="1"/>
  <c r="E161" i="6"/>
  <c r="F161" i="6" s="1"/>
  <c r="E162" i="6"/>
  <c r="F162" i="6" s="1"/>
  <c r="E163" i="6"/>
  <c r="F163" i="6" s="1"/>
  <c r="E164" i="6"/>
  <c r="F164" i="6" s="1"/>
  <c r="E165" i="6"/>
  <c r="F165" i="6" s="1"/>
  <c r="E166" i="6"/>
  <c r="F166" i="6" s="1"/>
  <c r="E167" i="6"/>
  <c r="F167" i="6" s="1"/>
  <c r="E168" i="6"/>
  <c r="F168" i="6" s="1"/>
  <c r="E169" i="6"/>
  <c r="F169" i="6" s="1"/>
  <c r="E170" i="6"/>
  <c r="F170" i="6" s="1"/>
  <c r="E171" i="6"/>
  <c r="F171" i="6" s="1"/>
  <c r="E172" i="6"/>
  <c r="F172" i="6" s="1"/>
  <c r="E173" i="6"/>
  <c r="F173" i="6" s="1"/>
  <c r="E174" i="6"/>
  <c r="F174" i="6" s="1"/>
  <c r="E175" i="6"/>
  <c r="F175" i="6" s="1"/>
  <c r="E176" i="6"/>
  <c r="F176" i="6" s="1"/>
  <c r="E177" i="6"/>
  <c r="F177" i="6" s="1"/>
  <c r="E178" i="6"/>
  <c r="F178" i="6" s="1"/>
  <c r="E179" i="6"/>
  <c r="F179" i="6" s="1"/>
  <c r="E180" i="6"/>
  <c r="F180" i="6" s="1"/>
  <c r="E181" i="6"/>
  <c r="F181" i="6" s="1"/>
  <c r="E182" i="6"/>
  <c r="F182" i="6" s="1"/>
  <c r="E183" i="6"/>
  <c r="F183" i="6" s="1"/>
  <c r="E184" i="6"/>
  <c r="F184" i="6" s="1"/>
  <c r="E185" i="6"/>
  <c r="F185" i="6" s="1"/>
  <c r="E186" i="6"/>
  <c r="F186" i="6" s="1"/>
  <c r="E187" i="6"/>
  <c r="F187" i="6" s="1"/>
  <c r="E188" i="6"/>
  <c r="F188" i="6" s="1"/>
  <c r="E189" i="6"/>
  <c r="F189" i="6" s="1"/>
  <c r="E190" i="6"/>
  <c r="F190" i="6" s="1"/>
  <c r="E191" i="6"/>
  <c r="F191" i="6" s="1"/>
  <c r="E192" i="6"/>
  <c r="F192" i="6" s="1"/>
  <c r="E193" i="6"/>
  <c r="F193" i="6" s="1"/>
  <c r="E194" i="6"/>
  <c r="F194" i="6" s="1"/>
  <c r="E195" i="6"/>
  <c r="F195" i="6" s="1"/>
  <c r="E196" i="6"/>
  <c r="F196" i="6" s="1"/>
  <c r="E197" i="6"/>
  <c r="F197" i="6" s="1"/>
  <c r="E198" i="6"/>
  <c r="F198" i="6" s="1"/>
  <c r="E199" i="6"/>
  <c r="F199" i="6" s="1"/>
  <c r="E200" i="6"/>
  <c r="F200" i="6" s="1"/>
  <c r="E201" i="6"/>
  <c r="F201" i="6" s="1"/>
  <c r="E202" i="6"/>
  <c r="F202" i="6" s="1"/>
  <c r="E203" i="6"/>
  <c r="F203" i="6" s="1"/>
  <c r="E204" i="6"/>
  <c r="F204" i="6" s="1"/>
  <c r="E205" i="6"/>
  <c r="F205" i="6" s="1"/>
  <c r="E206" i="6"/>
  <c r="F206" i="6" s="1"/>
  <c r="E207" i="6"/>
  <c r="F207" i="6" s="1"/>
  <c r="E208" i="6"/>
  <c r="F208" i="6" s="1"/>
  <c r="E209" i="6"/>
  <c r="F209" i="6" s="1"/>
  <c r="E210" i="6"/>
  <c r="F210" i="6" s="1"/>
  <c r="E211" i="6"/>
  <c r="F211" i="6" s="1"/>
  <c r="E212" i="6"/>
  <c r="F212" i="6" s="1"/>
  <c r="E213" i="6"/>
  <c r="F213" i="6" s="1"/>
  <c r="E214" i="6"/>
  <c r="F214" i="6" s="1"/>
  <c r="E215" i="6"/>
  <c r="F215" i="6" s="1"/>
  <c r="E216" i="6"/>
  <c r="F216" i="6" s="1"/>
  <c r="E217" i="6"/>
  <c r="F217" i="6" s="1"/>
  <c r="E218" i="6"/>
  <c r="F218" i="6" s="1"/>
  <c r="E219" i="6"/>
  <c r="F219" i="6" s="1"/>
  <c r="E220" i="6"/>
  <c r="F220" i="6" s="1"/>
  <c r="E221" i="6"/>
  <c r="F221" i="6" s="1"/>
  <c r="E222" i="6"/>
  <c r="F222" i="6" s="1"/>
  <c r="E223" i="6"/>
  <c r="F223" i="6" s="1"/>
  <c r="E224" i="6"/>
  <c r="F224" i="6" s="1"/>
  <c r="E225" i="6"/>
  <c r="F225" i="6" s="1"/>
  <c r="E226" i="6"/>
  <c r="F226" i="6" s="1"/>
  <c r="E227" i="6"/>
  <c r="F227" i="6" s="1"/>
  <c r="E228" i="6"/>
  <c r="F228" i="6" s="1"/>
  <c r="E229" i="6"/>
  <c r="F229" i="6" s="1"/>
  <c r="E230" i="6"/>
  <c r="F230" i="6" s="1"/>
  <c r="E231" i="6"/>
  <c r="F231" i="6" s="1"/>
  <c r="E232" i="6"/>
  <c r="F232" i="6" s="1"/>
  <c r="E233" i="6"/>
  <c r="F233" i="6" s="1"/>
  <c r="E234" i="6"/>
  <c r="F234" i="6" s="1"/>
  <c r="E235" i="6"/>
  <c r="F235" i="6" s="1"/>
  <c r="E236" i="6"/>
  <c r="F236" i="6" s="1"/>
  <c r="E237" i="6"/>
  <c r="F237" i="6" s="1"/>
  <c r="E238" i="6"/>
  <c r="F238" i="6" s="1"/>
  <c r="E239" i="6"/>
  <c r="F239" i="6" s="1"/>
  <c r="E240" i="6"/>
  <c r="F240" i="6" s="1"/>
  <c r="E241" i="6"/>
  <c r="F241" i="6" s="1"/>
  <c r="E242" i="6"/>
  <c r="F242" i="6" s="1"/>
  <c r="E243" i="6"/>
  <c r="F243" i="6" s="1"/>
  <c r="E244" i="6"/>
  <c r="F244" i="6" s="1"/>
  <c r="E245" i="6"/>
  <c r="F245" i="6" s="1"/>
  <c r="E246" i="6"/>
  <c r="F246" i="6" s="1"/>
  <c r="E247" i="6"/>
  <c r="F247" i="6" s="1"/>
  <c r="E248" i="6"/>
  <c r="F248" i="6" s="1"/>
  <c r="E249" i="6"/>
  <c r="F249" i="6" s="1"/>
  <c r="E250" i="6"/>
  <c r="F250" i="6" s="1"/>
  <c r="E251" i="6"/>
  <c r="F251" i="6" s="1"/>
  <c r="I3" i="5"/>
  <c r="D26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190" i="8"/>
  <c r="B3" i="8"/>
  <c r="B4" i="8"/>
  <c r="B5" i="8"/>
  <c r="B6" i="8"/>
  <c r="B7" i="8"/>
  <c r="B8" i="8"/>
  <c r="B9" i="8"/>
  <c r="B10" i="8"/>
  <c r="B11" i="8"/>
  <c r="B12" i="8"/>
  <c r="B13" i="8"/>
  <c r="B20" i="8"/>
  <c r="B15" i="8"/>
  <c r="B50" i="8"/>
  <c r="B17" i="8"/>
  <c r="B18" i="8"/>
  <c r="B19" i="8"/>
  <c r="B16" i="8"/>
  <c r="B21" i="8"/>
  <c r="B22" i="8"/>
  <c r="B125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63" i="8"/>
  <c r="B44" i="8"/>
  <c r="B45" i="8"/>
  <c r="B46" i="8"/>
  <c r="B47" i="8"/>
  <c r="B48" i="8"/>
  <c r="B49" i="8"/>
  <c r="B98" i="8"/>
  <c r="B51" i="8"/>
  <c r="B52" i="8"/>
  <c r="B53" i="8"/>
  <c r="B54" i="8"/>
  <c r="B55" i="8"/>
  <c r="B56" i="8"/>
  <c r="B57" i="8"/>
  <c r="B58" i="8"/>
  <c r="B59" i="8"/>
  <c r="B60" i="8"/>
  <c r="B61" i="8"/>
  <c r="B62" i="8"/>
  <c r="B14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147" i="8"/>
  <c r="B88" i="8"/>
  <c r="B89" i="8"/>
  <c r="B90" i="8"/>
  <c r="B91" i="8"/>
  <c r="B92" i="8"/>
  <c r="B93" i="8"/>
  <c r="B94" i="8"/>
  <c r="B95" i="8"/>
  <c r="B96" i="8"/>
  <c r="B97" i="8"/>
  <c r="B23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87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75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43" i="8"/>
  <c r="B176" i="8"/>
  <c r="B177" i="8"/>
  <c r="B178" i="8"/>
  <c r="B179" i="8"/>
  <c r="B180" i="8"/>
  <c r="B181" i="8"/>
  <c r="B182" i="8"/>
  <c r="B183" i="8"/>
  <c r="B184" i="8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374D05-AF2F-47CE-BB9D-468A6CE9EB12}" keepAlive="1" name="Requête - data" description="Connexion à la requête « data » dans le classeur." type="5" refreshedVersion="0" background="1">
    <dbPr connection="Provider=Microsoft.Mashup.OleDb.1;Data Source=$Workbook$;Location=data;Extended Properties=&quot;&quot;" command="SELECT * FROM [data]"/>
  </connection>
  <connection id="2" xr16:uid="{453192A7-90D7-4393-9107-306AC7005E4D}" keepAlive="1" name="Requête - entretiens" description="Connexion à la requête « entretiens » dans le classeur." type="5" refreshedVersion="8" background="1" saveData="1">
    <dbPr connection="Provider=Microsoft.Mashup.OleDb.1;Data Source=$Workbook$;Location=entretiens;Extended Properties=&quot;&quot;" command="SELECT * FROM [entretiens]"/>
  </connection>
  <connection id="3" xr16:uid="{4F9F6F38-DEAF-4F05-BE57-BC7EE590D200}" keepAlive="1" name="Requête - formations" description="Connexion à la requête « formations » dans le classeur." type="5" refreshedVersion="8" background="1" saveData="1">
    <dbPr connection="Provider=Microsoft.Mashup.OleDb.1;Data Source=$Workbook$;Location=formations;Extended Properties=&quot;&quot;" command="SELECT * FROM [formations]"/>
  </connection>
  <connection id="4" xr16:uid="{FBB4F951-E2B6-4357-9327-FBFACA466189}" keepAlive="1" name="Requête - personel" description="Connexion à la requête « personel » dans le classeur." type="5" refreshedVersion="8" background="1" saveData="1">
    <dbPr connection="Provider=Microsoft.Mashup.OleDb.1;Data Source=$Workbook$;Location=personel;Extended Properties=&quot;&quot;" command="SELECT * FROM [personel]"/>
  </connection>
  <connection id="5" xr16:uid="{E4E29BEB-0DAD-48E7-B6D9-3E4A14E683EA}" keepAlive="1" name="Requête - quittances" description="Connexion à la requête « quittances » dans le classeur." type="5" refreshedVersion="8" background="1" saveData="1">
    <dbPr connection="Provider=Microsoft.Mashup.OleDb.1;Data Source=$Workbook$;Location=quittances;Extended Properties=&quot;&quot;" command="SELECT * FROM [quittances]"/>
  </connection>
  <connection id="6" xr16:uid="{E2BB1794-FE94-4FBF-AFF6-971079E71D4C}" keepAlive="1" name="Requête - Sheet1" description="Connexion à la requête « Sheet1 » dans le classeur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<sst xmlns="http://schemas.openxmlformats.org/spreadsheetml/2006/main" count="4464" uniqueCount="677">
  <si>
    <t>ID</t>
  </si>
  <si>
    <t>Nom</t>
  </si>
  <si>
    <t>Prénom</t>
  </si>
  <si>
    <t>Sexe</t>
  </si>
  <si>
    <t>Date de naissance</t>
  </si>
  <si>
    <t>Date d'entrée</t>
  </si>
  <si>
    <t>Site</t>
  </si>
  <si>
    <t>Service</t>
  </si>
  <si>
    <t>Statut</t>
  </si>
  <si>
    <t>Salaire brut mensuel</t>
  </si>
  <si>
    <t>E0001</t>
  </si>
  <si>
    <t>TEXIER</t>
  </si>
  <si>
    <t>Julie</t>
  </si>
  <si>
    <t>F</t>
  </si>
  <si>
    <t>Marseille</t>
  </si>
  <si>
    <t>Production</t>
  </si>
  <si>
    <t>CDD</t>
  </si>
  <si>
    <t>E0002</t>
  </si>
  <si>
    <t>BODIN</t>
  </si>
  <si>
    <t>Camille</t>
  </si>
  <si>
    <t>H</t>
  </si>
  <si>
    <t>Commercial</t>
  </si>
  <si>
    <t>E0003</t>
  </si>
  <si>
    <t>MASSON</t>
  </si>
  <si>
    <t>Julien</t>
  </si>
  <si>
    <t>Marketing</t>
  </si>
  <si>
    <t>CDI</t>
  </si>
  <si>
    <t>E0004</t>
  </si>
  <si>
    <t>TECHER</t>
  </si>
  <si>
    <t>Agathe</t>
  </si>
  <si>
    <t>Paris</t>
  </si>
  <si>
    <t>E0005</t>
  </si>
  <si>
    <t>MORVAN</t>
  </si>
  <si>
    <t>Maryse</t>
  </si>
  <si>
    <t>RH</t>
  </si>
  <si>
    <t>E0006</t>
  </si>
  <si>
    <t>GAUDIN</t>
  </si>
  <si>
    <t>Susanne</t>
  </si>
  <si>
    <t>Informatique</t>
  </si>
  <si>
    <t>E0007</t>
  </si>
  <si>
    <t>THIERRY</t>
  </si>
  <si>
    <t>Paulette</t>
  </si>
  <si>
    <t>Lyon</t>
  </si>
  <si>
    <t>E0008</t>
  </si>
  <si>
    <t>ROUSSEAU</t>
  </si>
  <si>
    <t>Madeleine</t>
  </si>
  <si>
    <t>E0009</t>
  </si>
  <si>
    <t>RAYNAUD</t>
  </si>
  <si>
    <t>Aurélie</t>
  </si>
  <si>
    <t>Finance</t>
  </si>
  <si>
    <t>E0010</t>
  </si>
  <si>
    <t>GOSSELIN</t>
  </si>
  <si>
    <t>Clémence</t>
  </si>
  <si>
    <t>E0011</t>
  </si>
  <si>
    <t>GROS</t>
  </si>
  <si>
    <t>Nicolas</t>
  </si>
  <si>
    <t>E0012</t>
  </si>
  <si>
    <t>JOUBERT</t>
  </si>
  <si>
    <t>E0013</t>
  </si>
  <si>
    <t>BAUDRY</t>
  </si>
  <si>
    <t>Nathalie</t>
  </si>
  <si>
    <t>E0014</t>
  </si>
  <si>
    <t>RUIZ</t>
  </si>
  <si>
    <t>Danielle</t>
  </si>
  <si>
    <t>E0015</t>
  </si>
  <si>
    <t>REYNAUD</t>
  </si>
  <si>
    <t>Claire</t>
  </si>
  <si>
    <t>E0016</t>
  </si>
  <si>
    <t>PICHON</t>
  </si>
  <si>
    <t>Isaac</t>
  </si>
  <si>
    <t>E0017</t>
  </si>
  <si>
    <t>MOREL</t>
  </si>
  <si>
    <t>Suzanne</t>
  </si>
  <si>
    <t>E0018</t>
  </si>
  <si>
    <t>DUMAS</t>
  </si>
  <si>
    <t>Alphonse</t>
  </si>
  <si>
    <t>E0019</t>
  </si>
  <si>
    <t>LEDUC</t>
  </si>
  <si>
    <t>Marcelle</t>
  </si>
  <si>
    <t>Alternance</t>
  </si>
  <si>
    <t>E0020</t>
  </si>
  <si>
    <t>LACROIX</t>
  </si>
  <si>
    <t>Michèle</t>
  </si>
  <si>
    <t>E0021</t>
  </si>
  <si>
    <t>JEAN</t>
  </si>
  <si>
    <t>Audrey</t>
  </si>
  <si>
    <t>E0022</t>
  </si>
  <si>
    <t>DUMONT</t>
  </si>
  <si>
    <t>Georges</t>
  </si>
  <si>
    <t>E0023</t>
  </si>
  <si>
    <t>CARON</t>
  </si>
  <si>
    <t>Jean</t>
  </si>
  <si>
    <t>E0024</t>
  </si>
  <si>
    <t>BLOT</t>
  </si>
  <si>
    <t>E0025</t>
  </si>
  <si>
    <t>CHARLES</t>
  </si>
  <si>
    <t>Anne</t>
  </si>
  <si>
    <t>E0026</t>
  </si>
  <si>
    <t>DA COSTA</t>
  </si>
  <si>
    <t>Hélène</t>
  </si>
  <si>
    <t>E0027</t>
  </si>
  <si>
    <t>ALVES</t>
  </si>
  <si>
    <t>Alexandre</t>
  </si>
  <si>
    <t>E0028</t>
  </si>
  <si>
    <t>WEISS</t>
  </si>
  <si>
    <t>Mathilde</t>
  </si>
  <si>
    <t>E0029</t>
  </si>
  <si>
    <t>HUMBERT</t>
  </si>
  <si>
    <t>Eugène</t>
  </si>
  <si>
    <t>E0030</t>
  </si>
  <si>
    <t>Claude</t>
  </si>
  <si>
    <t>E0031</t>
  </si>
  <si>
    <t>SIMON</t>
  </si>
  <si>
    <t>Daniel</t>
  </si>
  <si>
    <t>E0032</t>
  </si>
  <si>
    <t>DIJOUX</t>
  </si>
  <si>
    <t>E0033</t>
  </si>
  <si>
    <t>VERDIER</t>
  </si>
  <si>
    <t>Louis</t>
  </si>
  <si>
    <t>E0034</t>
  </si>
  <si>
    <t>Patricia</t>
  </si>
  <si>
    <t>E0035</t>
  </si>
  <si>
    <t>CLÉMENT</t>
  </si>
  <si>
    <t>Claudine</t>
  </si>
  <si>
    <t>E0036</t>
  </si>
  <si>
    <t>BOULAY</t>
  </si>
  <si>
    <t>Margaux</t>
  </si>
  <si>
    <t>E0037</t>
  </si>
  <si>
    <t>VASSEUR</t>
  </si>
  <si>
    <t>Charlotte</t>
  </si>
  <si>
    <t>E0038</t>
  </si>
  <si>
    <t>LAPORTE</t>
  </si>
  <si>
    <t>Adrienne</t>
  </si>
  <si>
    <t>E0039</t>
  </si>
  <si>
    <t>Sylvie</t>
  </si>
  <si>
    <t>E0040</t>
  </si>
  <si>
    <t>HUBERT</t>
  </si>
  <si>
    <t>Marie</t>
  </si>
  <si>
    <t>E0041</t>
  </si>
  <si>
    <t>RIBEIRO</t>
  </si>
  <si>
    <t>David</t>
  </si>
  <si>
    <t>E0042</t>
  </si>
  <si>
    <t>AUGER</t>
  </si>
  <si>
    <t>Adrien</t>
  </si>
  <si>
    <t>E0043</t>
  </si>
  <si>
    <t>MARTIN</t>
  </si>
  <si>
    <t>Inès</t>
  </si>
  <si>
    <t>E0044</t>
  </si>
  <si>
    <t>LABBÉ</t>
  </si>
  <si>
    <t>Margaret</t>
  </si>
  <si>
    <t>E0045</t>
  </si>
  <si>
    <t>Renée</t>
  </si>
  <si>
    <t>E0046</t>
  </si>
  <si>
    <t>DELAHAYE</t>
  </si>
  <si>
    <t>Constance</t>
  </si>
  <si>
    <t>E0047</t>
  </si>
  <si>
    <t>PIRES</t>
  </si>
  <si>
    <t>E0048</t>
  </si>
  <si>
    <t>TORRES</t>
  </si>
  <si>
    <t>Jacques</t>
  </si>
  <si>
    <t>E0049</t>
  </si>
  <si>
    <t>DUPUY</t>
  </si>
  <si>
    <t>E0050</t>
  </si>
  <si>
    <t>HUET</t>
  </si>
  <si>
    <t>E0051</t>
  </si>
  <si>
    <t>LEBLANC</t>
  </si>
  <si>
    <t>E0052</t>
  </si>
  <si>
    <t>LACOMBE</t>
  </si>
  <si>
    <t>Gilles</t>
  </si>
  <si>
    <t>E0053</t>
  </si>
  <si>
    <t>BONNEAU</t>
  </si>
  <si>
    <t>E0054</t>
  </si>
  <si>
    <t>BAILLY</t>
  </si>
  <si>
    <t>Bernard</t>
  </si>
  <si>
    <t>E0055</t>
  </si>
  <si>
    <t>LEBON</t>
  </si>
  <si>
    <t>Thibault</t>
  </si>
  <si>
    <t>E0056</t>
  </si>
  <si>
    <t>GAUTIER</t>
  </si>
  <si>
    <t>E0057</t>
  </si>
  <si>
    <t>JOSEPH</t>
  </si>
  <si>
    <t>Manon</t>
  </si>
  <si>
    <t>E0058</t>
  </si>
  <si>
    <t>LECOMTE</t>
  </si>
  <si>
    <t>André</t>
  </si>
  <si>
    <t>E0059</t>
  </si>
  <si>
    <t>GALLET</t>
  </si>
  <si>
    <t>Françoise</t>
  </si>
  <si>
    <t>E0060</t>
  </si>
  <si>
    <t>OLLIVIER</t>
  </si>
  <si>
    <t>Noël</t>
  </si>
  <si>
    <t>E0061</t>
  </si>
  <si>
    <t>RIOU</t>
  </si>
  <si>
    <t>E0062</t>
  </si>
  <si>
    <t>FOURNIER</t>
  </si>
  <si>
    <t>François</t>
  </si>
  <si>
    <t>E0063</t>
  </si>
  <si>
    <t>MAILLOT</t>
  </si>
  <si>
    <t>Brigitte</t>
  </si>
  <si>
    <t>E0064</t>
  </si>
  <si>
    <t>ROYER</t>
  </si>
  <si>
    <t>Alix</t>
  </si>
  <si>
    <t>E0065</t>
  </si>
  <si>
    <t>MUNOZ</t>
  </si>
  <si>
    <t>Philippe</t>
  </si>
  <si>
    <t>E0066</t>
  </si>
  <si>
    <t>Amélie</t>
  </si>
  <si>
    <t>E0067</t>
  </si>
  <si>
    <t>FLEURY</t>
  </si>
  <si>
    <t>Alice</t>
  </si>
  <si>
    <t>E0068</t>
  </si>
  <si>
    <t>Benjamin</t>
  </si>
  <si>
    <t>E0069</t>
  </si>
  <si>
    <t>MULLER</t>
  </si>
  <si>
    <t>E0070</t>
  </si>
  <si>
    <t>PERROT</t>
  </si>
  <si>
    <t>Capucine</t>
  </si>
  <si>
    <t>E0071</t>
  </si>
  <si>
    <t>HAMON</t>
  </si>
  <si>
    <t>Patrick</t>
  </si>
  <si>
    <t>E0072</t>
  </si>
  <si>
    <t>JACQUES</t>
  </si>
  <si>
    <t>Sophie</t>
  </si>
  <si>
    <t>E0073</t>
  </si>
  <si>
    <t>Colette</t>
  </si>
  <si>
    <t>E0074</t>
  </si>
  <si>
    <t>Antoine</t>
  </si>
  <si>
    <t>E0075</t>
  </si>
  <si>
    <t>E0076</t>
  </si>
  <si>
    <t>GIRARD</t>
  </si>
  <si>
    <t>Geneviève</t>
  </si>
  <si>
    <t>E0077</t>
  </si>
  <si>
    <t>CHAUVEAU</t>
  </si>
  <si>
    <t>Aimée</t>
  </si>
  <si>
    <t>E0078</t>
  </si>
  <si>
    <t>ALEXANDRE</t>
  </si>
  <si>
    <t>Maurice</t>
  </si>
  <si>
    <t>E0079</t>
  </si>
  <si>
    <t>E0080</t>
  </si>
  <si>
    <t>SEGUIN</t>
  </si>
  <si>
    <t>E0081</t>
  </si>
  <si>
    <t>LOUIS</t>
  </si>
  <si>
    <t>Marc</t>
  </si>
  <si>
    <t>E0082</t>
  </si>
  <si>
    <t>ROLLAND</t>
  </si>
  <si>
    <t>Marcel</t>
  </si>
  <si>
    <t>E0083</t>
  </si>
  <si>
    <t>LELIÈVRE</t>
  </si>
  <si>
    <t>Arthur</t>
  </si>
  <si>
    <t>E0084</t>
  </si>
  <si>
    <t>BOUSQUET</t>
  </si>
  <si>
    <t>Anastasie</t>
  </si>
  <si>
    <t>E0085</t>
  </si>
  <si>
    <t>BRUNEL</t>
  </si>
  <si>
    <t>Raymond</t>
  </si>
  <si>
    <t>E0086</t>
  </si>
  <si>
    <t>FRANÇOIS</t>
  </si>
  <si>
    <t>Pauline</t>
  </si>
  <si>
    <t>E0087</t>
  </si>
  <si>
    <t>FOUCHER</t>
  </si>
  <si>
    <t>Roger</t>
  </si>
  <si>
    <t>E0088</t>
  </si>
  <si>
    <t>MILLET</t>
  </si>
  <si>
    <t>E0089</t>
  </si>
  <si>
    <t>Océane</t>
  </si>
  <si>
    <t>E0090</t>
  </si>
  <si>
    <t>Juliette</t>
  </si>
  <si>
    <t>E0091</t>
  </si>
  <si>
    <t>Michel</t>
  </si>
  <si>
    <t>E0092</t>
  </si>
  <si>
    <t>E0093</t>
  </si>
  <si>
    <t>FERNANDEZ</t>
  </si>
  <si>
    <t>Hugues</t>
  </si>
  <si>
    <t>E0094</t>
  </si>
  <si>
    <t>MOREAU</t>
  </si>
  <si>
    <t>E0095</t>
  </si>
  <si>
    <t>LE GOFF</t>
  </si>
  <si>
    <t>E0096</t>
  </si>
  <si>
    <t>NORMAND</t>
  </si>
  <si>
    <t>Rémy</t>
  </si>
  <si>
    <t>E0097</t>
  </si>
  <si>
    <t>GUIBERT</t>
  </si>
  <si>
    <t>Élise</t>
  </si>
  <si>
    <t>E0098</t>
  </si>
  <si>
    <t>CORDIER</t>
  </si>
  <si>
    <t>Antoinette</t>
  </si>
  <si>
    <t>E0099</t>
  </si>
  <si>
    <t>DUVAL</t>
  </si>
  <si>
    <t>Adélaïde</t>
  </si>
  <si>
    <t>E0100</t>
  </si>
  <si>
    <t>GERMAIN</t>
  </si>
  <si>
    <t>E0101</t>
  </si>
  <si>
    <t>PEREZ</t>
  </si>
  <si>
    <t>Christelle</t>
  </si>
  <si>
    <t>E0102</t>
  </si>
  <si>
    <t>PERRET</t>
  </si>
  <si>
    <t>Éric</t>
  </si>
  <si>
    <t>E0103</t>
  </si>
  <si>
    <t>BOURDON</t>
  </si>
  <si>
    <t>E0104</t>
  </si>
  <si>
    <t>COLIN</t>
  </si>
  <si>
    <t>Astrid</t>
  </si>
  <si>
    <t>E0105</t>
  </si>
  <si>
    <t>E0106</t>
  </si>
  <si>
    <t>ROBERT</t>
  </si>
  <si>
    <t>E0107</t>
  </si>
  <si>
    <t>BRUNEAU</t>
  </si>
  <si>
    <t>Matthieu</t>
  </si>
  <si>
    <t>E0108</t>
  </si>
  <si>
    <t>LEFEBVRE</t>
  </si>
  <si>
    <t>Martine</t>
  </si>
  <si>
    <t>E0109</t>
  </si>
  <si>
    <t>GEORGES</t>
  </si>
  <si>
    <t>E0110</t>
  </si>
  <si>
    <t>DANIEL</t>
  </si>
  <si>
    <t>E0111</t>
  </si>
  <si>
    <t>Olivier</t>
  </si>
  <si>
    <t>E0112</t>
  </si>
  <si>
    <t>FERRAND</t>
  </si>
  <si>
    <t>Agnès</t>
  </si>
  <si>
    <t>E0113</t>
  </si>
  <si>
    <t>ROY</t>
  </si>
  <si>
    <t>E0114</t>
  </si>
  <si>
    <t>BENOIT</t>
  </si>
  <si>
    <t>E0115</t>
  </si>
  <si>
    <t>LÉGER</t>
  </si>
  <si>
    <t>Céline</t>
  </si>
  <si>
    <t>E0116</t>
  </si>
  <si>
    <t>BERTRAND</t>
  </si>
  <si>
    <t>Lucie</t>
  </si>
  <si>
    <t>E0117</t>
  </si>
  <si>
    <t>E0118</t>
  </si>
  <si>
    <t>POTTIER</t>
  </si>
  <si>
    <t>Robert</t>
  </si>
  <si>
    <t>E0119</t>
  </si>
  <si>
    <t>E0120</t>
  </si>
  <si>
    <t>René</t>
  </si>
  <si>
    <t>E0121</t>
  </si>
  <si>
    <t>E0122</t>
  </si>
  <si>
    <t>LEDOUX</t>
  </si>
  <si>
    <t>E0123</t>
  </si>
  <si>
    <t>DUPRÉ</t>
  </si>
  <si>
    <t>Philippine</t>
  </si>
  <si>
    <t>E0124</t>
  </si>
  <si>
    <t>RÉMY</t>
  </si>
  <si>
    <t>Yves</t>
  </si>
  <si>
    <t>E0125</t>
  </si>
  <si>
    <t>IMBERT</t>
  </si>
  <si>
    <t>Anouk</t>
  </si>
  <si>
    <t>E0126</t>
  </si>
  <si>
    <t>PHILIPPE</t>
  </si>
  <si>
    <t>E0127</t>
  </si>
  <si>
    <t>BIGOT</t>
  </si>
  <si>
    <t>Martin</t>
  </si>
  <si>
    <t>E0128</t>
  </si>
  <si>
    <t>BERTHELOT</t>
  </si>
  <si>
    <t>E0129</t>
  </si>
  <si>
    <t>ARNAUD</t>
  </si>
  <si>
    <t>Simone</t>
  </si>
  <si>
    <t>E0130</t>
  </si>
  <si>
    <t>ROCHER</t>
  </si>
  <si>
    <t>E0131</t>
  </si>
  <si>
    <t>BERNIER</t>
  </si>
  <si>
    <t>Franck</t>
  </si>
  <si>
    <t>E0132</t>
  </si>
  <si>
    <t>Luce</t>
  </si>
  <si>
    <t>E0133</t>
  </si>
  <si>
    <t>DURAND</t>
  </si>
  <si>
    <t>Marguerite</t>
  </si>
  <si>
    <t>E0134</t>
  </si>
  <si>
    <t>TURPIN</t>
  </si>
  <si>
    <t>E0135</t>
  </si>
  <si>
    <t>LECOQ</t>
  </si>
  <si>
    <t>E0136</t>
  </si>
  <si>
    <t>Aurore</t>
  </si>
  <si>
    <t>E0137</t>
  </si>
  <si>
    <t>DUBOIS</t>
  </si>
  <si>
    <t>Bertrand</t>
  </si>
  <si>
    <t>E0138</t>
  </si>
  <si>
    <t>AUBRY</t>
  </si>
  <si>
    <t>E0139</t>
  </si>
  <si>
    <t>E0140</t>
  </si>
  <si>
    <t>Augustin</t>
  </si>
  <si>
    <t>E0141</t>
  </si>
  <si>
    <t>PERON</t>
  </si>
  <si>
    <t>E0142</t>
  </si>
  <si>
    <t>DELMAS</t>
  </si>
  <si>
    <t>Michelle</t>
  </si>
  <si>
    <t>E0143</t>
  </si>
  <si>
    <t>MARIE</t>
  </si>
  <si>
    <t>Frédérique</t>
  </si>
  <si>
    <t>E0144</t>
  </si>
  <si>
    <t>MAURY</t>
  </si>
  <si>
    <t>Éléonore</t>
  </si>
  <si>
    <t>E0145</t>
  </si>
  <si>
    <t>Nicole</t>
  </si>
  <si>
    <t>E0146</t>
  </si>
  <si>
    <t>Tristan</t>
  </si>
  <si>
    <t>E0147</t>
  </si>
  <si>
    <t>William</t>
  </si>
  <si>
    <t>E0148</t>
  </si>
  <si>
    <t>LEMONNIER</t>
  </si>
  <si>
    <t>E0149</t>
  </si>
  <si>
    <t>DIAS</t>
  </si>
  <si>
    <t>Auguste</t>
  </si>
  <si>
    <t>E0150</t>
  </si>
  <si>
    <t>Alex</t>
  </si>
  <si>
    <t>E0151</t>
  </si>
  <si>
    <t>VINCENT</t>
  </si>
  <si>
    <t>Élisabeth</t>
  </si>
  <si>
    <t>E0152</t>
  </si>
  <si>
    <t>SCHMITT</t>
  </si>
  <si>
    <t>Anaïs</t>
  </si>
  <si>
    <t>E0153</t>
  </si>
  <si>
    <t>LECLERCQ</t>
  </si>
  <si>
    <t>Théodore</t>
  </si>
  <si>
    <t>E0154</t>
  </si>
  <si>
    <t>Marine</t>
  </si>
  <si>
    <t>E0155</t>
  </si>
  <si>
    <t>E0156</t>
  </si>
  <si>
    <t>LEROUX</t>
  </si>
  <si>
    <t>Sébastien</t>
  </si>
  <si>
    <t>E0157</t>
  </si>
  <si>
    <t>E0158</t>
  </si>
  <si>
    <t>E0159</t>
  </si>
  <si>
    <t>MEUNIER</t>
  </si>
  <si>
    <t>E0160</t>
  </si>
  <si>
    <t>LANGLOIS</t>
  </si>
  <si>
    <t>E0161</t>
  </si>
  <si>
    <t>THIBAULT</t>
  </si>
  <si>
    <t>E0162</t>
  </si>
  <si>
    <t>Lorraine</t>
  </si>
  <si>
    <t>E0163</t>
  </si>
  <si>
    <t>POTIER</t>
  </si>
  <si>
    <t>Alain</t>
  </si>
  <si>
    <t>E0164</t>
  </si>
  <si>
    <t>E0165</t>
  </si>
  <si>
    <t>SANCHEZ</t>
  </si>
  <si>
    <t>Emmanuelle</t>
  </si>
  <si>
    <t>E0166</t>
  </si>
  <si>
    <t>E0167</t>
  </si>
  <si>
    <t>CARLIER</t>
  </si>
  <si>
    <t>Bernadette</t>
  </si>
  <si>
    <t>E0168</t>
  </si>
  <si>
    <t>COULON</t>
  </si>
  <si>
    <t>Guillaume</t>
  </si>
  <si>
    <t>E0169</t>
  </si>
  <si>
    <t>E0170</t>
  </si>
  <si>
    <t>E0171</t>
  </si>
  <si>
    <t>TOUSSAINT</t>
  </si>
  <si>
    <t>Stéphane</t>
  </si>
  <si>
    <t>E0172</t>
  </si>
  <si>
    <t>MAURICE</t>
  </si>
  <si>
    <t>E0173</t>
  </si>
  <si>
    <t>E0174</t>
  </si>
  <si>
    <t>E0175</t>
  </si>
  <si>
    <t>PASQUIER</t>
  </si>
  <si>
    <t>E0176</t>
  </si>
  <si>
    <t>VALENTIN</t>
  </si>
  <si>
    <t>E0177</t>
  </si>
  <si>
    <t>BECKER</t>
  </si>
  <si>
    <t>E0178</t>
  </si>
  <si>
    <t>Alexandria</t>
  </si>
  <si>
    <t>E0179</t>
  </si>
  <si>
    <t>Thibaut</t>
  </si>
  <si>
    <t>E0180</t>
  </si>
  <si>
    <t>BARBE</t>
  </si>
  <si>
    <t>E0181</t>
  </si>
  <si>
    <t>E0182</t>
  </si>
  <si>
    <t>ROSSI</t>
  </si>
  <si>
    <t>E0183</t>
  </si>
  <si>
    <t>E0184</t>
  </si>
  <si>
    <t>OLIVIER</t>
  </si>
  <si>
    <t>E0185</t>
  </si>
  <si>
    <t>E0186</t>
  </si>
  <si>
    <t>E0187</t>
  </si>
  <si>
    <t>MERCIER</t>
  </si>
  <si>
    <t>E0188</t>
  </si>
  <si>
    <t>E0189</t>
  </si>
  <si>
    <t>FOUQUET</t>
  </si>
  <si>
    <t>Diane</t>
  </si>
  <si>
    <t>E0190</t>
  </si>
  <si>
    <t>E0191</t>
  </si>
  <si>
    <t>Timothée</t>
  </si>
  <si>
    <t>E0192</t>
  </si>
  <si>
    <t>BERNARD</t>
  </si>
  <si>
    <t>E0193</t>
  </si>
  <si>
    <t>Jacqueline</t>
  </si>
  <si>
    <t>E0194</t>
  </si>
  <si>
    <t>E0195</t>
  </si>
  <si>
    <t>HOAREAU</t>
  </si>
  <si>
    <t>E0196</t>
  </si>
  <si>
    <t>MARTINS</t>
  </si>
  <si>
    <t>Édith</t>
  </si>
  <si>
    <t>E0197</t>
  </si>
  <si>
    <t>BÈGUE</t>
  </si>
  <si>
    <t>Gilbert</t>
  </si>
  <si>
    <t>E0198</t>
  </si>
  <si>
    <t>ADAM</t>
  </si>
  <si>
    <t>E0199</t>
  </si>
  <si>
    <t>MERLE</t>
  </si>
  <si>
    <t>Richard</t>
  </si>
  <si>
    <t>E0200</t>
  </si>
  <si>
    <t>E0201</t>
  </si>
  <si>
    <t>NAVARRO</t>
  </si>
  <si>
    <t>E0202</t>
  </si>
  <si>
    <t>GONCALVES</t>
  </si>
  <si>
    <t>E0203</t>
  </si>
  <si>
    <t>BERTIN</t>
  </si>
  <si>
    <t>E0204</t>
  </si>
  <si>
    <t>Gabrielle</t>
  </si>
  <si>
    <t>E0205</t>
  </si>
  <si>
    <t>HERNANDEZ</t>
  </si>
  <si>
    <t>E0206</t>
  </si>
  <si>
    <t>E0207</t>
  </si>
  <si>
    <t>BOYER</t>
  </si>
  <si>
    <t>E0208</t>
  </si>
  <si>
    <t>Denise</t>
  </si>
  <si>
    <t>E0209</t>
  </si>
  <si>
    <t>E0210</t>
  </si>
  <si>
    <t>BLONDEL</t>
  </si>
  <si>
    <t>Isabelle</t>
  </si>
  <si>
    <t>E0211</t>
  </si>
  <si>
    <t>ROUSSEL</t>
  </si>
  <si>
    <t>E0212</t>
  </si>
  <si>
    <t>LEMAIRE</t>
  </si>
  <si>
    <t>E0213</t>
  </si>
  <si>
    <t>Olivie</t>
  </si>
  <si>
    <t>E0214</t>
  </si>
  <si>
    <t>WAGNER</t>
  </si>
  <si>
    <t>E0215</t>
  </si>
  <si>
    <t>GUÉRIN</t>
  </si>
  <si>
    <t>Marianne</t>
  </si>
  <si>
    <t>E0216</t>
  </si>
  <si>
    <t>E0217</t>
  </si>
  <si>
    <t>MICHAUD</t>
  </si>
  <si>
    <t>E0218</t>
  </si>
  <si>
    <t>E0219</t>
  </si>
  <si>
    <t>E0220</t>
  </si>
  <si>
    <t>PERRIN</t>
  </si>
  <si>
    <t>E0221</t>
  </si>
  <si>
    <t>E0222</t>
  </si>
  <si>
    <t>E0223</t>
  </si>
  <si>
    <t>CHAUVIN</t>
  </si>
  <si>
    <t>E0224</t>
  </si>
  <si>
    <t>E0225</t>
  </si>
  <si>
    <t>E0226</t>
  </si>
  <si>
    <t>MICHEL</t>
  </si>
  <si>
    <t>Henriette</t>
  </si>
  <si>
    <t>E0227</t>
  </si>
  <si>
    <t>COSTE</t>
  </si>
  <si>
    <t>E0228</t>
  </si>
  <si>
    <t>BOULANGER</t>
  </si>
  <si>
    <t>Thérèse</t>
  </si>
  <si>
    <t>E0229</t>
  </si>
  <si>
    <t>BARRE</t>
  </si>
  <si>
    <t>E0230</t>
  </si>
  <si>
    <t>BAZIN</t>
  </si>
  <si>
    <t>E0231</t>
  </si>
  <si>
    <t>Émile</t>
  </si>
  <si>
    <t>E0232</t>
  </si>
  <si>
    <t>LEGENDRE</t>
  </si>
  <si>
    <t>Andrée</t>
  </si>
  <si>
    <t>E0233</t>
  </si>
  <si>
    <t>DUFOUR</t>
  </si>
  <si>
    <t>Roland</t>
  </si>
  <si>
    <t>E0234</t>
  </si>
  <si>
    <t>MALLET</t>
  </si>
  <si>
    <t>E0235</t>
  </si>
  <si>
    <t>HENRY</t>
  </si>
  <si>
    <t>E0236</t>
  </si>
  <si>
    <t>E0237</t>
  </si>
  <si>
    <t>BUISSON</t>
  </si>
  <si>
    <t>E0238</t>
  </si>
  <si>
    <t>PARIS</t>
  </si>
  <si>
    <t>Margaud</t>
  </si>
  <si>
    <t>E0239</t>
  </si>
  <si>
    <t>E0240</t>
  </si>
  <si>
    <t>MASSE</t>
  </si>
  <si>
    <t>E0241</t>
  </si>
  <si>
    <t>GUILLON</t>
  </si>
  <si>
    <t>E0242</t>
  </si>
  <si>
    <t>BESSON</t>
  </si>
  <si>
    <t>Lucas</t>
  </si>
  <si>
    <t>E0243</t>
  </si>
  <si>
    <t>PAYET</t>
  </si>
  <si>
    <t>Victor</t>
  </si>
  <si>
    <t>E0244</t>
  </si>
  <si>
    <t>E0245</t>
  </si>
  <si>
    <t>GÉRARD</t>
  </si>
  <si>
    <t>Emmanuel</t>
  </si>
  <si>
    <t>E0246</t>
  </si>
  <si>
    <t>DELATTRE</t>
  </si>
  <si>
    <t>Laetitia</t>
  </si>
  <si>
    <t>E0247</t>
  </si>
  <si>
    <t>GUILLOT</t>
  </si>
  <si>
    <t>Joséphine</t>
  </si>
  <si>
    <t>E0248</t>
  </si>
  <si>
    <t>E0249</t>
  </si>
  <si>
    <t>HAMEL</t>
  </si>
  <si>
    <t>Dorothée</t>
  </si>
  <si>
    <t>E0250</t>
  </si>
  <si>
    <t>LOPEZ</t>
  </si>
  <si>
    <t>Adèle</t>
  </si>
  <si>
    <t>ID employé</t>
  </si>
  <si>
    <t>Mois</t>
  </si>
  <si>
    <t>Type d'absence</t>
  </si>
  <si>
    <t>Nombre de jours</t>
  </si>
  <si>
    <t>Congés payés</t>
  </si>
  <si>
    <t>Sans solde</t>
  </si>
  <si>
    <t>Accident du travail</t>
  </si>
  <si>
    <t>Maladie</t>
  </si>
  <si>
    <t>RTT</t>
  </si>
  <si>
    <t>Intitulé de formation</t>
  </si>
  <si>
    <t>Durée (jours)</t>
  </si>
  <si>
    <t>Coût</t>
  </si>
  <si>
    <t>Date</t>
  </si>
  <si>
    <t>Techniques de vente</t>
  </si>
  <si>
    <t>Communication interpersonnelle</t>
  </si>
  <si>
    <t>Management d'équipe</t>
  </si>
  <si>
    <t>RGPD et cybersécurité</t>
  </si>
  <si>
    <t>Comptabilité analytique</t>
  </si>
  <si>
    <t>Prise de parole en public</t>
  </si>
  <si>
    <t>Lean Management</t>
  </si>
  <si>
    <t>Excel Avancé</t>
  </si>
  <si>
    <t>Gestion du stress</t>
  </si>
  <si>
    <t>Langue anglaise professionnelle</t>
  </si>
  <si>
    <t>Analyse financière</t>
  </si>
  <si>
    <t>Date dernier entretien</t>
  </si>
  <si>
    <t>Évaluation</t>
  </si>
  <si>
    <t>Très satisfaisant</t>
  </si>
  <si>
    <t>Non réalisé</t>
  </si>
  <si>
    <t>À améliorer</t>
  </si>
  <si>
    <t>Satisfaisant</t>
  </si>
  <si>
    <t>Excellent</t>
  </si>
  <si>
    <t>Date de départ</t>
  </si>
  <si>
    <t>Motif du départ</t>
  </si>
  <si>
    <t>Démission</t>
  </si>
  <si>
    <t>Licenciement</t>
  </si>
  <si>
    <t>Rupture conventionnelle</t>
  </si>
  <si>
    <t>Fin de CDD</t>
  </si>
  <si>
    <t>Retraite</t>
  </si>
  <si>
    <t>Age</t>
  </si>
  <si>
    <t>Ancienneté</t>
  </si>
  <si>
    <t>Date Anniv. Contrat</t>
  </si>
  <si>
    <t>Étiquettes de lignes</t>
  </si>
  <si>
    <t>Total général</t>
  </si>
  <si>
    <t>Moyenne de Salaire brut mensuel</t>
  </si>
  <si>
    <t>Nombre de ID</t>
  </si>
  <si>
    <t>Jours d'absence</t>
  </si>
  <si>
    <t>10 Salariés les plus absents</t>
  </si>
  <si>
    <t>Taux d'absentéisme par service et par mois</t>
  </si>
  <si>
    <t>Taux Absentéisme</t>
  </si>
  <si>
    <t>Jours absence</t>
  </si>
  <si>
    <t>Nombre de formation</t>
  </si>
  <si>
    <t>Mois depuis entretien</t>
  </si>
  <si>
    <t>Alerte</t>
  </si>
  <si>
    <t>Evaluation</t>
  </si>
  <si>
    <t>Nombre</t>
  </si>
  <si>
    <t>Taux de départ par service</t>
  </si>
  <si>
    <t>Départs</t>
  </si>
  <si>
    <t>Effectif</t>
  </si>
  <si>
    <t>Taux de départ</t>
  </si>
  <si>
    <t>Somme de Nombre de jours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</si>
  <si>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</si>
  <si>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</si>
  <si>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</si>
  <si>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</si>
  <si>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</si>
  <si>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</si>
  <si>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</si>
  <si>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</si>
  <si>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</si>
  <si>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</si>
  <si>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</si>
  <si>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</si>
  <si>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Nombre de Sexe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</si>
</sst>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.00\ [$€-40C]_-;\-* #,##0.00\ [$€-40C]_-;_-* &quot;-&quot;??\ [$€-40C]_-;_-@_-"/>
    <numFmt numFmtId="165" formatCode="[$-40C]mmmm\-yy;@"/>
  </numFmts>
  <fonts count="8" x14ac:knownFonts="1">
    <font>
      <sz val="11"/>
      <color theme="1"/>
      <name val="Calibri Light"/>
      <family val="2"/>
      <scheme val="minor"/>
    </font>
    <font>
      <sz val="11"/>
      <color theme="1"/>
      <name val="Calibri Light"/>
      <family val="2"/>
      <scheme val="minor"/>
    </font>
    <font>
      <b/>
      <sz val="11"/>
      <color theme="0"/>
      <name val="Calibri Light"/>
      <family val="2"/>
      <scheme val="minor"/>
    </font>
    <font>
      <b/>
      <sz val="12"/>
      <color theme="0"/>
      <name val="Calibri Light"/>
      <family val="2"/>
      <scheme val="minor"/>
    </font>
    <font>
      <sz val="8"/>
      <name val="Calibri Light"/>
      <family val="2"/>
      <scheme val="minor"/>
    </font>
    <font>
      <b/>
      <sz val="14"/>
      <color theme="0"/>
      <name val="Calibri Light"/>
      <family val="2"/>
      <scheme val="minor"/>
    </font>
    <font>
      <b/>
      <sz val="11"/>
      <color theme="1"/>
      <name val="Calibri Light"/>
      <family val="2"/>
      <scheme val="minor"/>
    </font>
    <font>
      <b/>
      <sz val="36"/>
      <color theme="1"/>
      <name val="Calibri Light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5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5" tint="0.79998168889431442"/>
      </patternFill>
    </fill>
    <fill>
      <patternFill patternType="solid">
        <fgColor rgb="FF7030A0"/>
        <bgColor indexed="64"/>
      </patternFill>
    </fill>
  </fills>
  <borders count="40">
    <border>
      <left/>
      <right/>
      <top/>
      <bottom/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thick">
        <color rgb="FFFFC000"/>
      </left>
      <right style="thin">
        <color theme="5" tint="0.59996337778862885"/>
      </right>
      <top style="thick">
        <color rgb="FFFFC000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ck">
        <color rgb="FFFFC000"/>
      </top>
      <bottom style="thin">
        <color theme="5" tint="0.59996337778862885"/>
      </bottom>
      <diagonal/>
    </border>
    <border>
      <left style="thin">
        <color theme="5" tint="0.59996337778862885"/>
      </left>
      <right style="thick">
        <color rgb="FFFFC000"/>
      </right>
      <top style="thick">
        <color rgb="FFFFC000"/>
      </top>
      <bottom style="thin">
        <color theme="5" tint="0.59996337778862885"/>
      </bottom>
      <diagonal/>
    </border>
    <border>
      <left style="thick">
        <color rgb="FFFFC000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ck">
        <color rgb="FFFFC000"/>
      </right>
      <top style="thin">
        <color theme="5" tint="0.59996337778862885"/>
      </top>
      <bottom style="thin">
        <color theme="5" tint="0.59996337778862885"/>
      </bottom>
      <diagonal/>
    </border>
    <border>
      <left style="thick">
        <color rgb="FFFFC000"/>
      </left>
      <right style="thin">
        <color theme="5" tint="0.59996337778862885"/>
      </right>
      <top style="thin">
        <color theme="5" tint="0.59996337778862885"/>
      </top>
      <bottom style="thick">
        <color rgb="FFFFC000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ck">
        <color rgb="FFFFC000"/>
      </bottom>
      <diagonal/>
    </border>
    <border>
      <left style="thin">
        <color theme="5" tint="0.59996337778862885"/>
      </left>
      <right style="thick">
        <color rgb="FFFFC000"/>
      </right>
      <top style="thin">
        <color theme="5" tint="0.59996337778862885"/>
      </top>
      <bottom style="thick">
        <color rgb="FFFFC000"/>
      </bottom>
      <diagonal/>
    </border>
    <border>
      <left style="thick">
        <color rgb="FFFFC000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5" tint="0.59996337778862885"/>
      </right>
      <top style="thick">
        <color rgb="FFFFC000"/>
      </top>
      <bottom style="thin">
        <color theme="5" tint="0.59996337778862885"/>
      </bottom>
      <diagonal/>
    </border>
    <border>
      <left style="medium">
        <color indexed="64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indexed="64"/>
      </left>
      <right style="thin">
        <color theme="5" tint="0.59996337778862885"/>
      </right>
      <top style="thin">
        <color theme="5" tint="0.59996337778862885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5"/>
      </left>
      <right style="thin">
        <color theme="5"/>
      </right>
      <top/>
      <bottom style="medium">
        <color theme="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/>
      <diagonal/>
    </border>
    <border>
      <left style="thin">
        <color theme="5" tint="0.59996337778862885"/>
      </left>
      <right style="thin">
        <color theme="5" tint="0.59996337778862885"/>
      </right>
      <top/>
      <bottom style="thin">
        <color theme="5" tint="0.59996337778862885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5" tint="0.59996337778862885"/>
      </right>
      <top/>
      <bottom style="thin">
        <color theme="5" tint="0.59996337778862885"/>
      </bottom>
      <diagonal/>
    </border>
    <border>
      <left/>
      <right style="thin">
        <color theme="5"/>
      </right>
      <top/>
      <bottom style="medium">
        <color theme="5"/>
      </bottom>
      <diagonal/>
    </border>
    <border>
      <left style="thin">
        <color theme="5" tint="0.59996337778862885"/>
      </left>
      <right/>
      <top/>
      <bottom style="thin">
        <color theme="5" tint="0.59996337778862885"/>
      </bottom>
      <diagonal/>
    </border>
    <border>
      <left/>
      <right style="thin">
        <color theme="5" tint="0.59996337778862885"/>
      </right>
      <top style="thick">
        <color rgb="FFFFC000"/>
      </top>
      <bottom style="thin">
        <color theme="5" tint="0.59996337778862885"/>
      </bottom>
      <diagonal/>
    </border>
    <border>
      <left style="thin">
        <color theme="5" tint="0.59996337778862885"/>
      </left>
      <right/>
      <top style="thin">
        <color theme="5" tint="0.59996337778862885"/>
      </top>
      <bottom style="thin">
        <color theme="5" tint="0.59996337778862885"/>
      </bottom>
      <diagonal/>
    </border>
    <border>
      <left/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/>
      <right style="thin">
        <color theme="5" tint="0.59996337778862885"/>
      </right>
      <top style="thin">
        <color theme="5" tint="0.59996337778862885"/>
      </top>
      <bottom/>
      <diagonal/>
    </border>
    <border>
      <left style="thin">
        <color theme="5" tint="0.59996337778862885"/>
      </left>
      <right/>
      <top style="thin">
        <color theme="5" tint="0.59996337778862885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1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6" xfId="0" applyNumberFormat="1" applyFill="1" applyBorder="1"/>
    <xf numFmtId="0" fontId="0" fillId="3" borderId="7" xfId="0" applyFill="1" applyBorder="1"/>
    <xf numFmtId="0" fontId="0" fillId="3" borderId="8" xfId="0" applyFill="1" applyBorder="1"/>
    <xf numFmtId="14" fontId="0" fillId="3" borderId="9" xfId="0" applyNumberFormat="1" applyFill="1" applyBorder="1"/>
    <xf numFmtId="0" fontId="3" fillId="4" borderId="0" xfId="0" applyFont="1" applyFill="1"/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4" fontId="0" fillId="0" borderId="0" xfId="0" applyNumberFormat="1"/>
    <xf numFmtId="164" fontId="2" fillId="2" borderId="2" xfId="1" applyNumberFormat="1" applyFont="1" applyFill="1" applyBorder="1"/>
    <xf numFmtId="164" fontId="0" fillId="3" borderId="5" xfId="1" applyNumberFormat="1" applyFont="1" applyFill="1" applyBorder="1"/>
    <xf numFmtId="164" fontId="0" fillId="3" borderId="8" xfId="1" applyNumberFormat="1" applyFont="1" applyFill="1" applyBorder="1"/>
    <xf numFmtId="164" fontId="0" fillId="0" borderId="0" xfId="1" applyNumberFormat="1" applyFont="1"/>
    <xf numFmtId="164" fontId="3" fillId="4" borderId="0" xfId="0" applyNumberFormat="1" applyFont="1" applyFill="1"/>
    <xf numFmtId="14" fontId="3" fillId="4" borderId="0" xfId="0" applyNumberFormat="1" applyFont="1" applyFill="1"/>
    <xf numFmtId="14" fontId="2" fillId="2" borderId="3" xfId="0" applyNumberFormat="1" applyFont="1" applyFill="1" applyBorder="1"/>
    <xf numFmtId="0" fontId="0" fillId="5" borderId="0" xfId="0" applyFill="1"/>
    <xf numFmtId="14" fontId="0" fillId="5" borderId="0" xfId="0" applyNumberFormat="1" applyFill="1"/>
    <xf numFmtId="0" fontId="0" fillId="0" borderId="10" xfId="0" applyBorder="1"/>
    <xf numFmtId="0" fontId="0" fillId="0" borderId="11" xfId="0" applyBorder="1"/>
    <xf numFmtId="14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1" fontId="3" fillId="4" borderId="0" xfId="0" applyNumberFormat="1" applyFont="1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9" xfId="0" applyBorder="1"/>
    <xf numFmtId="0" fontId="0" fillId="5" borderId="22" xfId="0" applyFill="1" applyBorder="1"/>
    <xf numFmtId="0" fontId="0" fillId="5" borderId="23" xfId="0" applyFill="1" applyBorder="1"/>
    <xf numFmtId="0" fontId="0" fillId="0" borderId="24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14" fontId="6" fillId="5" borderId="28" xfId="0" applyNumberFormat="1" applyFont="1" applyFill="1" applyBorder="1"/>
    <xf numFmtId="9" fontId="0" fillId="0" borderId="0" xfId="2" applyFont="1"/>
    <xf numFmtId="1" fontId="0" fillId="6" borderId="30" xfId="0" applyNumberFormat="1" applyFill="1" applyBorder="1"/>
    <xf numFmtId="1" fontId="0" fillId="8" borderId="30" xfId="0" applyNumberFormat="1" applyFill="1" applyBorder="1"/>
    <xf numFmtId="165" fontId="0" fillId="6" borderId="11" xfId="0" applyNumberFormat="1" applyFill="1" applyBorder="1"/>
    <xf numFmtId="165" fontId="0" fillId="7" borderId="14" xfId="0" applyNumberFormat="1" applyFill="1" applyBorder="1"/>
    <xf numFmtId="165" fontId="0" fillId="6" borderId="14" xfId="0" applyNumberFormat="1" applyFill="1" applyBorder="1"/>
    <xf numFmtId="165" fontId="0" fillId="8" borderId="14" xfId="0" applyNumberFormat="1" applyFill="1" applyBorder="1"/>
    <xf numFmtId="165" fontId="0" fillId="9" borderId="14" xfId="0" applyNumberFormat="1" applyFill="1" applyBorder="1"/>
    <xf numFmtId="14" fontId="6" fillId="5" borderId="32" xfId="0" applyNumberFormat="1" applyFont="1" applyFill="1" applyBorder="1"/>
    <xf numFmtId="1" fontId="0" fillId="6" borderId="14" xfId="0" applyNumberFormat="1" applyFill="1" applyBorder="1"/>
    <xf numFmtId="0" fontId="6" fillId="5" borderId="33" xfId="0" applyFont="1" applyFill="1" applyBorder="1"/>
    <xf numFmtId="9" fontId="6" fillId="5" borderId="34" xfId="2" applyFont="1" applyFill="1" applyBorder="1"/>
    <xf numFmtId="0" fontId="0" fillId="6" borderId="35" xfId="0" applyFill="1" applyBorder="1"/>
    <xf numFmtId="9" fontId="0" fillId="6" borderId="36" xfId="2" applyFont="1" applyFill="1" applyBorder="1"/>
    <xf numFmtId="0" fontId="0" fillId="7" borderId="37" xfId="0" applyFill="1" applyBorder="1"/>
    <xf numFmtId="0" fontId="0" fillId="6" borderId="37" xfId="0" applyFill="1" applyBorder="1"/>
    <xf numFmtId="9" fontId="0" fillId="6" borderId="34" xfId="2" applyFont="1" applyFill="1" applyBorder="1"/>
    <xf numFmtId="0" fontId="0" fillId="8" borderId="37" xfId="0" applyFill="1" applyBorder="1"/>
    <xf numFmtId="9" fontId="0" fillId="8" borderId="34" xfId="2" applyFont="1" applyFill="1" applyBorder="1"/>
    <xf numFmtId="0" fontId="0" fillId="9" borderId="37" xfId="0" applyFill="1" applyBorder="1"/>
    <xf numFmtId="0" fontId="0" fillId="9" borderId="38" xfId="0" applyFill="1" applyBorder="1"/>
    <xf numFmtId="165" fontId="0" fillId="9" borderId="29" xfId="0" applyNumberFormat="1" applyFill="1" applyBorder="1"/>
    <xf numFmtId="1" fontId="0" fillId="8" borderId="29" xfId="0" applyNumberFormat="1" applyFill="1" applyBorder="1"/>
    <xf numFmtId="9" fontId="0" fillId="8" borderId="39" xfId="2" applyFont="1" applyFill="1" applyBorder="1"/>
    <xf numFmtId="0" fontId="2" fillId="2" borderId="0" xfId="0" applyFont="1" applyFill="1"/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6" fillId="0" borderId="0" xfId="0" applyFont="1"/>
    <xf numFmtId="0" fontId="5" fillId="4" borderId="0" xfId="0" applyFont="1" applyFill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3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57"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inor"/>
      </font>
      <fill>
        <patternFill>
          <bgColor theme="0"/>
        </patternFill>
      </fill>
      <border diagonalUp="0" diagonalDown="0">
        <left style="thin">
          <color theme="5" tint="0.59996337778862885"/>
        </left>
        <right/>
        <top style="thin">
          <color theme="5" tint="0.59996337778862885"/>
        </top>
        <bottom style="thin">
          <color theme="5" tint="0.599963377788628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inor"/>
      </font>
      <numFmt numFmtId="1" formatCode="0"/>
      <fill>
        <patternFill>
          <bgColor theme="0"/>
        </patternFill>
      </fill>
      <border diagonalUp="0" diagonalDown="0">
        <left style="thin">
          <color theme="5" tint="0.59996337778862885"/>
        </left>
        <right style="thin">
          <color theme="5" tint="0.59996337778862885"/>
        </right>
        <top/>
        <bottom style="thin">
          <color theme="5" tint="0.599963377788628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inor"/>
      </font>
      <numFmt numFmtId="165" formatCode="[$-40C]mmmm\-yy;@"/>
      <fill>
        <patternFill>
          <bgColor theme="0"/>
        </patternFill>
      </fill>
      <border diagonalUp="0" diagonalDown="0">
        <left style="thin">
          <color theme="5" tint="0.59996337778862885"/>
        </left>
        <right style="thin">
          <color theme="5" tint="0.59996337778862885"/>
        </right>
        <top style="thin">
          <color theme="5" tint="0.59996337778862885"/>
        </top>
        <bottom style="thin">
          <color theme="5" tint="0.599963377788628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inor"/>
      </font>
      <fill>
        <patternFill>
          <bgColor theme="0"/>
        </patternFill>
      </fill>
      <border diagonalUp="0" diagonalDown="0">
        <left/>
        <right style="thin">
          <color theme="5" tint="0.59996337778862885"/>
        </right>
        <top style="thin">
          <color theme="5" tint="0.59996337778862885"/>
        </top>
        <bottom style="thin">
          <color theme="5" tint="0.59996337778862885"/>
        </bottom>
      </border>
    </dxf>
    <dxf>
      <border diagonalUp="0" diagonalDown="0">
        <left style="medium">
          <color indexed="64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ill>
        <patternFill>
          <bgColor theme="0"/>
        </patternFill>
      </fill>
    </dxf>
    <dxf>
      <border outline="0">
        <bottom style="medium">
          <color theme="5"/>
        </bottom>
      </border>
    </dxf>
    <dxf>
      <numFmt numFmtId="0" formatCode="General"/>
    </dxf>
    <dxf>
      <numFmt numFmtId="0" formatCode="General"/>
      <border diagonalUp="0" diagonalDown="0">
        <left style="thick">
          <color rgb="FFFFC000"/>
        </left>
        <right style="thin">
          <color theme="5" tint="0.59996337778862885"/>
        </right>
        <top style="thin">
          <color theme="5" tint="0.59996337778862885"/>
        </top>
        <bottom style="thin">
          <color theme="5" tint="0.59996337778862885"/>
        </bottom>
        <vertical/>
        <horizontal/>
      </border>
    </dxf>
    <dxf>
      <numFmt numFmtId="1" formatCode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rgb="FF7030A0"/>
        </left>
        <right/>
        <top style="thin">
          <color rgb="FF7030A0"/>
        </top>
        <bottom style="thin">
          <color rgb="FF7030A0"/>
        </bottom>
      </border>
    </dxf>
    <dxf>
      <numFmt numFmtId="164" formatCode="_-* #,##0.00\ [$€-40C]_-;\-* #,##0.00\ [$€-40C]_-;_-* &quot;-&quot;??\ [$€-40C]_-;_-@_-"/>
      <fill>
        <patternFill patternType="solid">
          <fgColor indexed="64"/>
          <bgColor theme="0"/>
        </patternFill>
      </fill>
      <border diagonalUp="0" diagonalDown="0" outline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border>
        <top style="thin">
          <color rgb="FF7030A0"/>
        </top>
      </border>
    </dxf>
    <dxf>
      <border diagonalUp="0" diagonalDown="0">
        <left style="thick">
          <color theme="9"/>
        </left>
        <right style="thick">
          <color theme="9"/>
        </right>
        <top style="thick">
          <color theme="9"/>
        </top>
        <bottom style="thick">
          <color theme="9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rgb="FF7030A0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 Light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 style="thin">
          <color rgb="FF7030A0"/>
        </left>
        <right style="thin">
          <color rgb="FF7030A0"/>
        </right>
        <top/>
        <bottom/>
        <vertical style="thin">
          <color rgb="FF7030A0"/>
        </vertical>
        <horizontal style="thin">
          <color rgb="FF7030A0"/>
        </horizontal>
      </border>
    </dxf>
    <dxf>
      <border diagonalUp="0" diagonalDown="0">
        <left style="thin">
          <color theme="5" tint="0.59996337778862885"/>
        </left>
        <right style="thick">
          <color rgb="FFFFC000"/>
        </right>
        <top style="thin">
          <color theme="5" tint="0.59996337778862885"/>
        </top>
        <bottom style="thin">
          <color theme="5" tint="0.59996337778862885"/>
        </bottom>
        <vertical style="thin">
          <color theme="5" tint="0.59996337778862885"/>
        </vertical>
        <horizontal style="thin">
          <color theme="5" tint="0.59996337778862885"/>
        </horizontal>
      </border>
    </dxf>
    <dxf>
      <numFmt numFmtId="0" formatCode="General"/>
      <border diagonalUp="0" diagonalDown="0">
        <left style="thin">
          <color theme="5" tint="0.59996337778862885"/>
        </left>
        <right style="thin">
          <color theme="5" tint="0.59996337778862885"/>
        </right>
        <top style="thin">
          <color theme="5" tint="0.59996337778862885"/>
        </top>
        <bottom style="thin">
          <color theme="5" tint="0.59996337778862885"/>
        </bottom>
        <vertical style="thin">
          <color theme="5" tint="0.59996337778862885"/>
        </vertical>
        <horizontal style="thin">
          <color theme="5" tint="0.59996337778862885"/>
        </horizontal>
      </border>
    </dxf>
    <dxf>
      <numFmt numFmtId="19" formatCode="dd/mm/yyyy"/>
      <border diagonalUp="0" diagonalDown="0">
        <left style="thin">
          <color theme="5" tint="0.59996337778862885"/>
        </left>
        <right style="thin">
          <color theme="5" tint="0.59996337778862885"/>
        </right>
        <top style="thin">
          <color theme="5" tint="0.59996337778862885"/>
        </top>
        <bottom style="thin">
          <color theme="5" tint="0.59996337778862885"/>
        </bottom>
        <vertical style="thin">
          <color theme="5" tint="0.59996337778862885"/>
        </vertical>
        <horizontal style="thin">
          <color theme="5" tint="0.59996337778862885"/>
        </horizontal>
      </border>
    </dxf>
    <dxf>
      <numFmt numFmtId="0" formatCode="General"/>
      <border diagonalUp="0" diagonalDown="0">
        <left style="thin">
          <color theme="5" tint="0.59996337778862885"/>
        </left>
        <right style="thin">
          <color theme="5" tint="0.59996337778862885"/>
        </right>
        <top style="thin">
          <color theme="5" tint="0.59996337778862885"/>
        </top>
        <bottom style="thin">
          <color theme="5" tint="0.59996337778862885"/>
        </bottom>
        <vertical style="thin">
          <color theme="5" tint="0.59996337778862885"/>
        </vertical>
        <horizontal style="thin">
          <color theme="5" tint="0.59996337778862885"/>
        </horizontal>
      </border>
    </dxf>
    <dxf>
      <numFmt numFmtId="0" formatCode="General"/>
      <border diagonalUp="0" diagonalDown="0">
        <left style="thick">
          <color rgb="FFFFC000"/>
        </left>
        <right style="thin">
          <color theme="5" tint="0.59996337778862885"/>
        </right>
        <top style="thin">
          <color theme="5" tint="0.59996337778862885"/>
        </top>
        <bottom style="thin">
          <color theme="5" tint="0.59996337778862885"/>
        </bottom>
        <vertical style="thin">
          <color theme="5" tint="0.59996337778862885"/>
        </vertical>
        <horizontal style="thin">
          <color theme="5" tint="0.59996337778862885"/>
        </horizontal>
      </border>
    </dxf>
    <dxf>
      <fill>
        <patternFill patternType="solid">
          <fgColor indexed="64"/>
          <bgColor rgb="FFFFC000"/>
        </patternFill>
      </fill>
    </dxf>
    <dxf>
      <numFmt numFmtId="19" formatCode="dd/mm/yyyy"/>
    </dxf>
    <dxf>
      <numFmt numFmtId="0" formatCode="General"/>
    </dxf>
    <dxf>
      <numFmt numFmtId="1" formatCode="0"/>
    </dxf>
    <dxf>
      <numFmt numFmtId="164" formatCode="_-* #,##0.00\ [$€-40C]_-;\-* #,##0.00\ [$€-40C]_-;_-* &quot;-&quot;??\ [$€-40C]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0"/>
        <name val="Calibri Light"/>
        <family val="2"/>
        <scheme val="minor"/>
      </font>
      <fill>
        <patternFill patternType="solid">
          <fgColor indexed="64"/>
          <bgColor theme="1"/>
        </patternFill>
      </fill>
    </dxf>
    <dxf>
      <numFmt numFmtId="13" formatCode="0%"/>
    </dxf>
    <dxf>
      <numFmt numFmtId="1" formatCode="0"/>
    </dxf>
    <dxf>
      <numFmt numFmtId="0" formatCode="General"/>
    </dxf>
  </dxfs>
  <tableStyles count="1" defaultTableStyle="TableStyleMedium2" defaultPivotStyle="PivotStyleLight16">
    <tableStyle name="Style de tableau 1" pivot="0" count="0" xr9:uid="{3C58EB72-D6C9-4799-ABF0-D0F986F13BE5}"/>
  </tableStyles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</a:t>
            </a:r>
            <a:r>
              <a:rPr lang="en-US" baseline="0"/>
              <a:t> de l'évaluation des entretiens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entretiens!$I$3</c:f>
              <c:strCache>
                <c:ptCount val="1"/>
                <c:pt idx="0">
                  <c:v>Nombre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43-4D0D-A06D-46EC007EFA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43-4D0D-A06D-46EC007EFA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43-4D0D-A06D-46EC007EFA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43-4D0D-A06D-46EC007EFA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43-4D0D-A06D-46EC007EFA5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entretiens!$H$4:$H$8</c:f>
              <c:strCache>
                <c:ptCount val="5"/>
                <c:pt idx="0">
                  <c:v>Non réalisé</c:v>
                </c:pt>
                <c:pt idx="1">
                  <c:v>À améliorer</c:v>
                </c:pt>
                <c:pt idx="2">
                  <c:v>Satisfaisant</c:v>
                </c:pt>
                <c:pt idx="3">
                  <c:v>Très satisfaisant</c:v>
                </c:pt>
                <c:pt idx="4">
                  <c:v>Excellent</c:v>
                </c:pt>
              </c:strCache>
            </c:strRef>
          </c:cat>
          <c:val>
            <c:numRef>
              <c:f>entretiens!$I$4:$I$8</c:f>
              <c:numCache>
                <c:formatCode>General</c:formatCode>
                <c:ptCount val="5"/>
                <c:pt idx="0">
                  <c:v>42</c:v>
                </c:pt>
                <c:pt idx="1">
                  <c:v>56</c:v>
                </c:pt>
                <c:pt idx="2">
                  <c:v>47</c:v>
                </c:pt>
                <c:pt idx="3">
                  <c:v>60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5-4EC5-8E50-EA1C467827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[Atelier_RH_Ducroux_Dylan.xlsx]Indicateurs RH!Tableau croisé dynamique7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Salaire Brut</a:t>
            </a:r>
            <a:r>
              <a:rPr lang="en-US" sz="1800" b="1" baseline="0">
                <a:solidFill>
                  <a:schemeClr val="tx1"/>
                </a:solidFill>
              </a:rPr>
              <a:t> Moyen par Service </a:t>
            </a:r>
          </a:p>
        </c:rich>
      </c:tx>
      <c:layout>
        <c:manualLayout>
          <c:xMode val="edge"/>
          <c:yMode val="edge"/>
          <c:x val="0.23103480296009929"/>
          <c:y val="8.30737551038029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20568159804915"/>
          <c:y val="0.12328994706569812"/>
          <c:w val="0.86856904102616694"/>
          <c:h val="0.793836934851852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'Indicateurs RH'!$N$1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'Indicateurs RH'!$M$2:$M$8</c:f>
              <c:strCache>
                <c:ptCount val="6"/>
                <c:pt idx="0">
                  <c:v>Commercial</c:v>
                </c:pt>
                <c:pt idx="1">
                  <c:v>Finance</c:v>
                </c:pt>
                <c:pt idx="2">
                  <c:v>Informatique</c:v>
                </c:pt>
                <c:pt idx="3">
                  <c:v>Marketing</c:v>
                </c:pt>
                <c:pt idx="4">
                  <c:v>Production</c:v>
                </c:pt>
                <c:pt idx="5">
                  <c:v>RH</c:v>
                </c:pt>
              </c:strCache>
            </c:strRef>
          </c:cat>
          <c:val>
            <c:numRef>
              <c:f>'Indicateurs RH'!$N$2:$N$8</c:f>
              <c:numCache>
                <c:formatCode>_-* #\ ##0.00\ [$€-40C]_-;\-* #\ ##0.00\ [$€-40C]_-;_-* "-"??\ [$€-40C]_-;_-@_-</c:formatCode>
                <c:ptCount val="6"/>
                <c:pt idx="0">
                  <c:v>2932.2584999999995</c:v>
                </c:pt>
                <c:pt idx="1">
                  <c:v>2903.8030555555561</c:v>
                </c:pt>
                <c:pt idx="2">
                  <c:v>2919.5787499999992</c:v>
                </c:pt>
                <c:pt idx="3">
                  <c:v>3066.2895652173906</c:v>
                </c:pt>
                <c:pt idx="4">
                  <c:v>3135.9453191489361</c:v>
                </c:pt>
                <c:pt idx="5">
                  <c:v>2999.3756097560981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6-4E9C-9C33-C47CBDC77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739280"/>
        <c:axId val="1540740720"/>
      </c:barChart>
      <c:catAx>
        <c:axId val="154073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0740720"/>
        <c:crosses val="autoZero"/>
        <c:auto val="1"/>
        <c:lblAlgn val="ctr"/>
        <c:lblOffset val="100"/>
        <c:noMultiLvlLbl val="0"/>
      </c:catAx>
      <c:valAx>
        <c:axId val="15407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€-40C]_-;\-* #\ ##0.0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073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[Atelier_RH_Ducroux_Dylan.xlsx]TCD abs-mois!Tableau croisé dynamique9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Jours d'absence par mois</a:t>
            </a:r>
          </a:p>
        </c:rich>
      </c:tx>
      <c:layout>
        <c:manualLayout>
          <c:xMode val="edge"/>
          <c:yMode val="edge"/>
          <c:x val="0.27491088684698367"/>
          <c:y val="1.2944988217002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009246003340492E-2"/>
          <c:y val="0.11141266681109853"/>
          <c:w val="0.91005867738889223"/>
          <c:h val="0.80362089697001904"/>
        </c:manualLayout>
      </c:layout>
      <c:lineChart>
        <c:grouping val="standard"/>
        <c:varyColors val="0"/>
        <c:ser>
          <c:idx val="0"/>
          <c:order val="0"/>
          <c:tx>
            <c:strRef>
              <c:f>'TCD abs-mois'!$B$3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'TCD abs-mois'!$A$4:$A$16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'TCD abs-mois'!$B$4:$B$16</c:f>
              <c:numCache>
                <c:formatCode>General</c:formatCode>
                <c:ptCount val="12"/>
                <c:pt idx="0">
                  <c:v>136</c:v>
                </c:pt>
                <c:pt idx="1">
                  <c:v>129</c:v>
                </c:pt>
                <c:pt idx="2">
                  <c:v>93</c:v>
                </c:pt>
                <c:pt idx="3">
                  <c:v>92</c:v>
                </c:pt>
                <c:pt idx="4">
                  <c:v>183</c:v>
                </c:pt>
                <c:pt idx="5">
                  <c:v>94</c:v>
                </c:pt>
                <c:pt idx="6">
                  <c:v>126</c:v>
                </c:pt>
                <c:pt idx="7">
                  <c:v>114</c:v>
                </c:pt>
                <c:pt idx="8">
                  <c:v>143</c:v>
                </c:pt>
                <c:pt idx="9">
                  <c:v>181</c:v>
                </c:pt>
                <c:pt idx="10">
                  <c:v>110</c:v>
                </c:pt>
                <c:pt idx="11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A-4943-9EBD-82FFEF4D10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44595504"/>
        <c:axId val="1544595024"/>
      </c:lineChart>
      <c:catAx>
        <c:axId val="15445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595024"/>
        <c:crosses val="autoZero"/>
        <c:auto val="1"/>
        <c:lblAlgn val="ctr"/>
        <c:lblOffset val="100"/>
        <c:noMultiLvlLbl val="0"/>
      </c:catAx>
      <c:valAx>
        <c:axId val="15445950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4459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[Atelier_RH_Ducroux_Dylan.xlsx]Indicateurs RH!Tableau croisé dynamique11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par sexe</a:t>
            </a:r>
          </a:p>
        </c:rich>
      </c:tx>
      <c:layout>
        <c:manualLayout>
          <c:xMode val="edge"/>
          <c:yMode val="edge"/>
          <c:x val="0.23186239420607185"/>
          <c:y val="0.102146793403812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'Indicateurs RH'!$R$1</c:f>
              <c:strCache>
                <c:ptCount val="1"/>
                <c:pt idx="0">
                  <c:v>Total</c:v>
                </c:pt>
              </c:strCache>
            </c:strRef>
          </c:tx>
          <c:explosion val="8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A3-4E16-9012-B9694A9D0657}"/>
              </c:ext>
            </c:extLst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A3-4E16-9012-B9694A9D065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'Indicateurs RH'!$Q$2:$Q$4</c:f>
              <c:strCache>
                <c:ptCount val="2"/>
                <c:pt idx="0">
                  <c:v>F</c:v>
                </c:pt>
                <c:pt idx="1">
                  <c:v>H</c:v>
                </c:pt>
              </c:strCache>
            </c:strRef>
          </c:cat>
          <c:val>
            <c:numRef>
              <c:f>'Indicateurs RH'!$R$2:$R$4</c:f>
              <c:numCache>
                <c:formatCode>General</c:formatCode>
                <c:ptCount val="2"/>
                <c:pt idx="0">
                  <c:v>120</c:v>
                </c:pt>
                <c:pt idx="1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A3-4E16-9012-B9694A9D0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823911</xdr:colOff>
      <xdr:row>9</xdr:row>
      <xdr:rowOff>4762</xdr:rowOff>
    </xdr:from>
    <xdr:to>
      <xdr:col>12</xdr:col>
      <xdr:colOff>447675</xdr:colOff>
      <xdr:row>24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05AFB49-74FC-94BA-95A2-16ABB5214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57150</xdr:rowOff>
    </xdr:from>
    <xdr:to>
      <xdr:col>4</xdr:col>
      <xdr:colOff>209550</xdr:colOff>
      <xdr:row>6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atut">
              <a:extLst>
                <a:ext uri="{FF2B5EF4-FFF2-40B4-BE49-F238E27FC236}">
                  <a16:creationId xmlns:a16="http://schemas.microsoft.com/office/drawing/2014/main" id="{746A5234-4B57-8643-0EAC-D795E29D56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4300" y="57150"/>
              <a:ext cx="1828800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47625</xdr:colOff>
      <xdr:row>0</xdr:row>
      <xdr:rowOff>38100</xdr:rowOff>
    </xdr:from>
    <xdr:to>
      <xdr:col>10</xdr:col>
      <xdr:colOff>200025</xdr:colOff>
      <xdr:row>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ite">
              <a:extLst>
                <a:ext uri="{FF2B5EF4-FFF2-40B4-BE49-F238E27FC236}">
                  <a16:creationId xmlns:a16="http://schemas.microsoft.com/office/drawing/2014/main" id="{4DFCF9B0-C84E-5964-4A00-918B0F7C80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10750" y="38100"/>
              <a:ext cx="1828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23</xdr:row>
      <xdr:rowOff>142875</xdr:rowOff>
    </xdr:from>
    <xdr:to>
      <xdr:col>1</xdr:col>
      <xdr:colOff>352425</xdr:colOff>
      <xdr:row>28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xe">
              <a:extLst>
                <a:ext uri="{FF2B5EF4-FFF2-40B4-BE49-F238E27FC236}">
                  <a16:creationId xmlns:a16="http://schemas.microsoft.com/office/drawing/2014/main" id="{2DE7DEE1-CD85-4A35-A5E4-092AAA3FB4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4591050"/>
              <a:ext cx="1104900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80964</xdr:colOff>
      <xdr:row>13</xdr:row>
      <xdr:rowOff>38099</xdr:rowOff>
    </xdr:from>
    <xdr:to>
      <xdr:col>1</xdr:col>
      <xdr:colOff>361950</xdr:colOff>
      <xdr:row>19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ite 1">
              <a:extLst>
                <a:ext uri="{FF2B5EF4-FFF2-40B4-BE49-F238E27FC236}">
                  <a16:creationId xmlns:a16="http://schemas.microsoft.com/office/drawing/2014/main" id="{82C3F810-6383-43B3-8BAE-EF7CC34B3E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964" y="2581274"/>
              <a:ext cx="1119186" cy="11620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</xdr:col>
      <xdr:colOff>476250</xdr:colOff>
      <xdr:row>16</xdr:row>
      <xdr:rowOff>171450</xdr:rowOff>
    </xdr:from>
    <xdr:to>
      <xdr:col>7</xdr:col>
      <xdr:colOff>723900</xdr:colOff>
      <xdr:row>32</xdr:row>
      <xdr:rowOff>180974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CFF4248-107E-4CCC-B573-10F4FBB06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400050</xdr:colOff>
      <xdr:row>16</xdr:row>
      <xdr:rowOff>38100</xdr:rowOff>
    </xdr:from>
    <xdr:to>
      <xdr:col>7</xdr:col>
      <xdr:colOff>771525</xdr:colOff>
      <xdr:row>33</xdr:row>
      <xdr:rowOff>133350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72594722-4869-F7F5-1FDA-D087ADA6FC41}"/>
            </a:ext>
          </a:extLst>
        </xdr:cNvPr>
        <xdr:cNvSpPr/>
      </xdr:nvSpPr>
      <xdr:spPr>
        <a:xfrm>
          <a:off x="1238250" y="3086100"/>
          <a:ext cx="5400675" cy="3333750"/>
        </a:xfrm>
        <a:prstGeom prst="roundRect">
          <a:avLst>
            <a:gd name="adj" fmla="val 6269"/>
          </a:avLst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828675</xdr:colOff>
      <xdr:row>17</xdr:row>
      <xdr:rowOff>66675</xdr:rowOff>
    </xdr:from>
    <xdr:to>
      <xdr:col>14</xdr:col>
      <xdr:colOff>114301</xdr:colOff>
      <xdr:row>32</xdr:row>
      <xdr:rowOff>152399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2306A26-44C6-436B-AC57-94C0A2554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57151</xdr:colOff>
      <xdr:row>16</xdr:row>
      <xdr:rowOff>47625</xdr:rowOff>
    </xdr:from>
    <xdr:to>
      <xdr:col>14</xdr:col>
      <xdr:colOff>57151</xdr:colOff>
      <xdr:row>33</xdr:row>
      <xdr:rowOff>133350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62011765-64CF-4CE7-A96C-C8A233FBEBB8}"/>
            </a:ext>
          </a:extLst>
        </xdr:cNvPr>
        <xdr:cNvSpPr/>
      </xdr:nvSpPr>
      <xdr:spPr>
        <a:xfrm>
          <a:off x="6762751" y="3143250"/>
          <a:ext cx="5410200" cy="3324225"/>
        </a:xfrm>
        <a:prstGeom prst="roundRect">
          <a:avLst>
            <a:gd name="adj" fmla="val 6269"/>
          </a:avLst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14</xdr:col>
      <xdr:colOff>171450</xdr:colOff>
      <xdr:row>18</xdr:row>
      <xdr:rowOff>142875</xdr:rowOff>
    </xdr:from>
    <xdr:to>
      <xdr:col>15</xdr:col>
      <xdr:colOff>733425</xdr:colOff>
      <xdr:row>29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ervice">
              <a:extLst>
                <a:ext uri="{FF2B5EF4-FFF2-40B4-BE49-F238E27FC236}">
                  <a16:creationId xmlns:a16="http://schemas.microsoft.com/office/drawing/2014/main" id="{D018CE3C-2BD3-4DED-BCF5-E1387EEF4C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87250" y="3638550"/>
              <a:ext cx="1400175" cy="1990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0</xdr:col>
      <xdr:colOff>742951</xdr:colOff>
      <xdr:row>3</xdr:row>
      <xdr:rowOff>171450</xdr:rowOff>
    </xdr:from>
    <xdr:to>
      <xdr:col>5</xdr:col>
      <xdr:colOff>114301</xdr:colOff>
      <xdr:row>16</xdr:row>
      <xdr:rowOff>85725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CC740C6D-7204-4BB0-8CBA-D8063B28C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409575</xdr:colOff>
      <xdr:row>4</xdr:row>
      <xdr:rowOff>171450</xdr:rowOff>
    </xdr:from>
    <xdr:to>
      <xdr:col>4</xdr:col>
      <xdr:colOff>457200</xdr:colOff>
      <xdr:row>15</xdr:row>
      <xdr:rowOff>95250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337D0385-6D36-4166-AFE7-D6D334720E72}"/>
            </a:ext>
          </a:extLst>
        </xdr:cNvPr>
        <xdr:cNvSpPr/>
      </xdr:nvSpPr>
      <xdr:spPr>
        <a:xfrm>
          <a:off x="1247775" y="933450"/>
          <a:ext cx="2562225" cy="2019300"/>
        </a:xfrm>
        <a:prstGeom prst="roundRect">
          <a:avLst>
            <a:gd name="adj" fmla="val 6269"/>
          </a:avLst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685800</xdr:colOff>
      <xdr:row>4</xdr:row>
      <xdr:rowOff>171450</xdr:rowOff>
    </xdr:from>
    <xdr:to>
      <xdr:col>7</xdr:col>
      <xdr:colOff>733425</xdr:colOff>
      <xdr:row>15</xdr:row>
      <xdr:rowOff>95250</xdr:rowOff>
    </xdr:to>
    <xdr:sp macro="" textlink="">
      <xdr:nvSpPr>
        <xdr:cNvPr id="11" name="Rectangle : coins arrondis 10">
          <a:extLst>
            <a:ext uri="{FF2B5EF4-FFF2-40B4-BE49-F238E27FC236}">
              <a16:creationId xmlns:a16="http://schemas.microsoft.com/office/drawing/2014/main" id="{4F6BD091-4381-403F-8C32-FF30F413BC79}"/>
            </a:ext>
          </a:extLst>
        </xdr:cNvPr>
        <xdr:cNvSpPr/>
      </xdr:nvSpPr>
      <xdr:spPr>
        <a:xfrm>
          <a:off x="4038600" y="933450"/>
          <a:ext cx="2562225" cy="2019300"/>
        </a:xfrm>
        <a:prstGeom prst="roundRect">
          <a:avLst>
            <a:gd name="adj" fmla="val 6269"/>
          </a:avLst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95251</xdr:colOff>
      <xdr:row>1</xdr:row>
      <xdr:rowOff>57150</xdr:rowOff>
    </xdr:from>
    <xdr:to>
      <xdr:col>11</xdr:col>
      <xdr:colOff>247651</xdr:colOff>
      <xdr:row>4</xdr:row>
      <xdr:rowOff>57150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0D59CE62-5BCE-4915-BDDB-08F10D48FB56}"/>
            </a:ext>
          </a:extLst>
        </xdr:cNvPr>
        <xdr:cNvSpPr/>
      </xdr:nvSpPr>
      <xdr:spPr>
        <a:xfrm>
          <a:off x="4286251" y="247650"/>
          <a:ext cx="5181600" cy="571500"/>
        </a:xfrm>
        <a:prstGeom prst="roundRect">
          <a:avLst>
            <a:gd name="adj" fmla="val 6269"/>
          </a:avLst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5</xdr:col>
      <xdr:colOff>219076</xdr:colOff>
      <xdr:row>1</xdr:row>
      <xdr:rowOff>104775</xdr:rowOff>
    </xdr:from>
    <xdr:ext cx="4981574" cy="47625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7565EC50-B71C-F27E-A137-0613658FBF92}"/>
            </a:ext>
          </a:extLst>
        </xdr:cNvPr>
        <xdr:cNvSpPr txBox="1"/>
      </xdr:nvSpPr>
      <xdr:spPr>
        <a:xfrm>
          <a:off x="4410076" y="295275"/>
          <a:ext cx="4981574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2400" b="1" u="none"/>
            <a:t>Mini Tableau de bord RH</a:t>
          </a:r>
        </a:p>
      </xdr:txBody>
    </xdr:sp>
    <xdr:clientData/>
  </xdr:oneCellAnchor>
  <xdr:twoCellAnchor>
    <xdr:from>
      <xdr:col>8</xdr:col>
      <xdr:colOff>466725</xdr:colOff>
      <xdr:row>4</xdr:row>
      <xdr:rowOff>180976</xdr:rowOff>
    </xdr:from>
    <xdr:to>
      <xdr:col>13</xdr:col>
      <xdr:colOff>390525</xdr:colOff>
      <xdr:row>15</xdr:row>
      <xdr:rowOff>38101</xdr:rowOff>
    </xdr:to>
    <xdr:sp macro="" textlink="">
      <xdr:nvSpPr>
        <xdr:cNvPr id="14" name="Rectangle : coins arrondis 13">
          <a:extLst>
            <a:ext uri="{FF2B5EF4-FFF2-40B4-BE49-F238E27FC236}">
              <a16:creationId xmlns:a16="http://schemas.microsoft.com/office/drawing/2014/main" id="{8F9A97B4-2452-4391-86DF-4C0E09BC7C4E}"/>
            </a:ext>
          </a:extLst>
        </xdr:cNvPr>
        <xdr:cNvSpPr/>
      </xdr:nvSpPr>
      <xdr:spPr>
        <a:xfrm>
          <a:off x="7172325" y="942976"/>
          <a:ext cx="4114800" cy="2000250"/>
        </a:xfrm>
        <a:prstGeom prst="roundRect">
          <a:avLst>
            <a:gd name="adj" fmla="val 6269"/>
          </a:avLst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704850</xdr:colOff>
      <xdr:row>6</xdr:row>
      <xdr:rowOff>104775</xdr:rowOff>
    </xdr:from>
    <xdr:ext cx="184731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D2925F74-8C53-EDE8-7A46-BF36F403C8CC}"/>
            </a:ext>
          </a:extLst>
        </xdr:cNvPr>
        <xdr:cNvSpPr txBox="1"/>
      </xdr:nvSpPr>
      <xdr:spPr>
        <a:xfrm>
          <a:off x="7410450" y="1247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9</xdr:col>
      <xdr:colOff>28575</xdr:colOff>
      <xdr:row>7</xdr:row>
      <xdr:rowOff>171450</xdr:rowOff>
    </xdr:from>
    <xdr:ext cx="184731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0A1D33BD-FB42-5412-A147-FFF0E2291691}"/>
            </a:ext>
          </a:extLst>
        </xdr:cNvPr>
        <xdr:cNvSpPr txBox="1"/>
      </xdr:nvSpPr>
      <xdr:spPr>
        <a:xfrm>
          <a:off x="7572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twoCellAnchor>
    <xdr:from>
      <xdr:col>4</xdr:col>
      <xdr:colOff>742949</xdr:colOff>
      <xdr:row>5</xdr:row>
      <xdr:rowOff>85725</xdr:rowOff>
    </xdr:from>
    <xdr:to>
      <xdr:col>6</xdr:col>
      <xdr:colOff>714374</xdr:colOff>
      <xdr:row>6</xdr:row>
      <xdr:rowOff>200025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215B0612-6C5C-B7A1-233E-03DE806AC1EC}"/>
            </a:ext>
          </a:extLst>
        </xdr:cNvPr>
        <xdr:cNvSpPr txBox="1"/>
      </xdr:nvSpPr>
      <xdr:spPr>
        <a:xfrm>
          <a:off x="4095749" y="1038225"/>
          <a:ext cx="16478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Nombre d'employés</a:t>
          </a:r>
        </a:p>
      </xdr:txBody>
    </xdr:sp>
    <xdr:clientData/>
  </xdr:twoCellAnchor>
  <xdr:twoCellAnchor>
    <xdr:from>
      <xdr:col>4</xdr:col>
      <xdr:colOff>714375</xdr:colOff>
      <xdr:row>10</xdr:row>
      <xdr:rowOff>28575</xdr:rowOff>
    </xdr:from>
    <xdr:to>
      <xdr:col>6</xdr:col>
      <xdr:colOff>685800</xdr:colOff>
      <xdr:row>11</xdr:row>
      <xdr:rowOff>142875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5477BFC9-FDE7-4901-B9F6-015AC192C401}"/>
            </a:ext>
          </a:extLst>
        </xdr:cNvPr>
        <xdr:cNvSpPr txBox="1"/>
      </xdr:nvSpPr>
      <xdr:spPr>
        <a:xfrm>
          <a:off x="4067175" y="1990725"/>
          <a:ext cx="16478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Départs cette année</a:t>
          </a:r>
        </a:p>
      </xdr:txBody>
    </xdr:sp>
    <xdr:clientData/>
  </xdr:twoCellAnchor>
  <xdr:twoCellAnchor editAs="oneCell">
    <xdr:from>
      <xdr:col>6</xdr:col>
      <xdr:colOff>654826</xdr:colOff>
      <xdr:row>5</xdr:row>
      <xdr:rowOff>16651</xdr:rowOff>
    </xdr:from>
    <xdr:to>
      <xdr:col>7</xdr:col>
      <xdr:colOff>566090</xdr:colOff>
      <xdr:row>10</xdr:row>
      <xdr:rowOff>19051</xdr:rowOff>
    </xdr:to>
    <xdr:pic>
      <xdr:nvPicPr>
        <xdr:cNvPr id="22" name="Graphique 21" descr="Homme en tenue professionnelle">
          <a:extLst>
            <a:ext uri="{FF2B5EF4-FFF2-40B4-BE49-F238E27FC236}">
              <a16:creationId xmlns:a16="http://schemas.microsoft.com/office/drawing/2014/main" id="{D81E8BB9-AB98-31AF-594A-D58C77ACA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684026" y="969151"/>
          <a:ext cx="749464" cy="10120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10</xdr:row>
      <xdr:rowOff>114299</xdr:rowOff>
    </xdr:from>
    <xdr:to>
      <xdr:col>7</xdr:col>
      <xdr:colOff>574152</xdr:colOff>
      <xdr:row>15</xdr:row>
      <xdr:rowOff>95249</xdr:rowOff>
    </xdr:to>
    <xdr:pic>
      <xdr:nvPicPr>
        <xdr:cNvPr id="23" name="Image 22" descr="Femme saluant de la main">
          <a:extLst>
            <a:ext uri="{FF2B5EF4-FFF2-40B4-BE49-F238E27FC236}">
              <a16:creationId xmlns:a16="http://schemas.microsoft.com/office/drawing/2014/main" id="{E94F0FF9-2B36-A11D-16C7-B8A04DB527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66138"/>
        <a:stretch>
          <a:fillRect/>
        </a:stretch>
      </xdr:blipFill>
      <xdr:spPr>
        <a:xfrm>
          <a:off x="5572125" y="2076449"/>
          <a:ext cx="869427" cy="9429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 ducroux" refreshedDate="46167.700385879631" createdVersion="8" refreshedVersion="8" minRefreshableVersion="3" recordCount="250" xr:uid="{629D1BE6-22CE-421F-9E8F-137D427307A4}">
  <cacheSource type="worksheet">
    <worksheetSource name="personel"/>
  </cacheSource>
  <cacheFields count="13">
    <cacheField name="ID" numFmtId="0">
      <sharedItems count="250">
        <s v="E0001"/>
        <s v="E0002"/>
        <s v="E0003"/>
        <s v="E0004"/>
        <s v="E0005"/>
        <s v="E0006"/>
        <s v="E0007"/>
        <s v="E0008"/>
        <s v="E0009"/>
        <s v="E0010"/>
        <s v="E0011"/>
        <s v="E0012"/>
        <s v="E0013"/>
        <s v="E0014"/>
        <s v="E0015"/>
        <s v="E0016"/>
        <s v="E0017"/>
        <s v="E0018"/>
        <s v="E0019"/>
        <s v="E0020"/>
        <s v="E0021"/>
        <s v="E0022"/>
        <s v="E0023"/>
        <s v="E0024"/>
        <s v="E0025"/>
        <s v="E0026"/>
        <s v="E0027"/>
        <s v="E0028"/>
        <s v="E0029"/>
        <s v="E0030"/>
        <s v="E0031"/>
        <s v="E0032"/>
        <s v="E0033"/>
        <s v="E0034"/>
        <s v="E0035"/>
        <s v="E0036"/>
        <s v="E0037"/>
        <s v="E0038"/>
        <s v="E0039"/>
        <s v="E0040"/>
        <s v="E0041"/>
        <s v="E0042"/>
        <s v="E0043"/>
        <s v="E0044"/>
        <s v="E0045"/>
        <s v="E0046"/>
        <s v="E0047"/>
        <s v="E0048"/>
        <s v="E0049"/>
        <s v="E0050"/>
        <s v="E0051"/>
        <s v="E0052"/>
        <s v="E0053"/>
        <s v="E0054"/>
        <s v="E0055"/>
        <s v="E0056"/>
        <s v="E0057"/>
        <s v="E0058"/>
        <s v="E0059"/>
        <s v="E0060"/>
        <s v="E0061"/>
        <s v="E0062"/>
        <s v="E0063"/>
        <s v="E0064"/>
        <s v="E0065"/>
        <s v="E0066"/>
        <s v="E0067"/>
        <s v="E0068"/>
        <s v="E0069"/>
        <s v="E0070"/>
        <s v="E0071"/>
        <s v="E0072"/>
        <s v="E0073"/>
        <s v="E0074"/>
        <s v="E0075"/>
        <s v="E0076"/>
        <s v="E0077"/>
        <s v="E0078"/>
        <s v="E0079"/>
        <s v="E0080"/>
        <s v="E0081"/>
        <s v="E0082"/>
        <s v="E0083"/>
        <s v="E0084"/>
        <s v="E0085"/>
        <s v="E0086"/>
        <s v="E0087"/>
        <s v="E0088"/>
        <s v="E0089"/>
        <s v="E0090"/>
        <s v="E0091"/>
        <s v="E0092"/>
        <s v="E0093"/>
        <s v="E0094"/>
        <s v="E0095"/>
        <s v="E0096"/>
        <s v="E0097"/>
        <s v="E0098"/>
        <s v="E0099"/>
        <s v="E0100"/>
        <s v="E0101"/>
        <s v="E0102"/>
        <s v="E0103"/>
        <s v="E0104"/>
        <s v="E0105"/>
        <s v="E0106"/>
        <s v="E0107"/>
        <s v="E0108"/>
        <s v="E0109"/>
        <s v="E0110"/>
        <s v="E0111"/>
        <s v="E0112"/>
        <s v="E0113"/>
        <s v="E0114"/>
        <s v="E0115"/>
        <s v="E0116"/>
        <s v="E0117"/>
        <s v="E0118"/>
        <s v="E0119"/>
        <s v="E0120"/>
        <s v="E0121"/>
        <s v="E0122"/>
        <s v="E0123"/>
        <s v="E0124"/>
        <s v="E0125"/>
        <s v="E0126"/>
        <s v="E0127"/>
        <s v="E0128"/>
        <s v="E0129"/>
        <s v="E0130"/>
        <s v="E0131"/>
        <s v="E0132"/>
        <s v="E0133"/>
        <s v="E0134"/>
        <s v="E0135"/>
        <s v="E0136"/>
        <s v="E0137"/>
        <s v="E0138"/>
        <s v="E0139"/>
        <s v="E0140"/>
        <s v="E0141"/>
        <s v="E0142"/>
        <s v="E0143"/>
        <s v="E0144"/>
        <s v="E0145"/>
        <s v="E0146"/>
        <s v="E0147"/>
        <s v="E0148"/>
        <s v="E0149"/>
        <s v="E0150"/>
        <s v="E0151"/>
        <s v="E0152"/>
        <s v="E0153"/>
        <s v="E0154"/>
        <s v="E0155"/>
        <s v="E0156"/>
        <s v="E0157"/>
        <s v="E0158"/>
        <s v="E0159"/>
        <s v="E0160"/>
        <s v="E0161"/>
        <s v="E0162"/>
        <s v="E0163"/>
        <s v="E0164"/>
        <s v="E0165"/>
        <s v="E0166"/>
        <s v="E0167"/>
        <s v="E0168"/>
        <s v="E0169"/>
        <s v="E0170"/>
        <s v="E0171"/>
        <s v="E0172"/>
        <s v="E0173"/>
        <s v="E0174"/>
        <s v="E0175"/>
        <s v="E0176"/>
        <s v="E0177"/>
        <s v="E0178"/>
        <s v="E0179"/>
        <s v="E0180"/>
        <s v="E0181"/>
        <s v="E0182"/>
        <s v="E0183"/>
        <s v="E0184"/>
        <s v="E0185"/>
        <s v="E0186"/>
        <s v="E0187"/>
        <s v="E0188"/>
        <s v="E0189"/>
        <s v="E0190"/>
        <s v="E0191"/>
        <s v="E0192"/>
        <s v="E0193"/>
        <s v="E0194"/>
        <s v="E0195"/>
        <s v="E0196"/>
        <s v="E0197"/>
        <s v="E0198"/>
        <s v="E0199"/>
        <s v="E0200"/>
        <s v="E0201"/>
        <s v="E0202"/>
        <s v="E0203"/>
        <s v="E0204"/>
        <s v="E0205"/>
        <s v="E0206"/>
        <s v="E0207"/>
        <s v="E0208"/>
        <s v="E0209"/>
        <s v="E0210"/>
        <s v="E0211"/>
        <s v="E0212"/>
        <s v="E0213"/>
        <s v="E0214"/>
        <s v="E0215"/>
        <s v="E0216"/>
        <s v="E0217"/>
        <s v="E0218"/>
        <s v="E0219"/>
        <s v="E0220"/>
        <s v="E0221"/>
        <s v="E0222"/>
        <s v="E0223"/>
        <s v="E0224"/>
        <s v="E0225"/>
        <s v="E0226"/>
        <s v="E0227"/>
        <s v="E0228"/>
        <s v="E0229"/>
        <s v="E0230"/>
        <s v="E0231"/>
        <s v="E0232"/>
        <s v="E0233"/>
        <s v="E0234"/>
        <s v="E0235"/>
        <s v="E0236"/>
        <s v="E0237"/>
        <s v="E0238"/>
        <s v="E0239"/>
        <s v="E0240"/>
        <s v="E0241"/>
        <s v="E0242"/>
        <s v="E0243"/>
        <s v="E0244"/>
        <s v="E0245"/>
        <s v="E0246"/>
        <s v="E0247"/>
        <s v="E0248"/>
        <s v="E0249"/>
        <s v="E0250"/>
      </sharedItems>
    </cacheField>
    <cacheField name="Nom" numFmtId="0">
      <sharedItems/>
    </cacheField>
    <cacheField name="Prénom" numFmtId="0">
      <sharedItems/>
    </cacheField>
    <cacheField name="Sexe" numFmtId="0">
      <sharedItems count="2">
        <s v="F"/>
        <s v="H"/>
      </sharedItems>
    </cacheField>
    <cacheField name="Date de naissance" numFmtId="14">
      <sharedItems containsSemiMixedTypes="0" containsNonDate="0" containsDate="1" containsString="0" minDate="1962-07-27T00:00:00" maxDate="2004-04-28T00:00:00"/>
    </cacheField>
    <cacheField name="Date d'entrée" numFmtId="14">
      <sharedItems containsSemiMixedTypes="0" containsNonDate="0" containsDate="1" containsString="0" minDate="2015-06-15T00:00:00" maxDate="2025-06-08T00:00:00"/>
    </cacheField>
    <cacheField name="Site" numFmtId="0">
      <sharedItems count="3">
        <s v="Marseille"/>
        <s v="Paris"/>
        <s v="Lyon"/>
      </sharedItems>
    </cacheField>
    <cacheField name="Service" numFmtId="0">
      <sharedItems count="6">
        <s v="Production"/>
        <s v="Commercial"/>
        <s v="Marketing"/>
        <s v="RH"/>
        <s v="Informatique"/>
        <s v="Finance"/>
      </sharedItems>
    </cacheField>
    <cacheField name="Statut" numFmtId="0">
      <sharedItems count="3">
        <s v="CDD"/>
        <s v="CDI"/>
        <s v="Alternance"/>
      </sharedItems>
    </cacheField>
    <cacheField name="Salaire brut mensuel" numFmtId="164">
      <sharedItems containsSemiMixedTypes="0" containsString="0" containsNumber="1" minValue="1800" maxValue="5311.64"/>
    </cacheField>
    <cacheField name="Age" numFmtId="1">
      <sharedItems containsSemiMixedTypes="0" containsString="0" containsNumber="1" containsInteger="1" minValue="22" maxValue="63" count="42">
        <n v="56"/>
        <n v="38"/>
        <n v="32"/>
        <n v="31"/>
        <n v="45"/>
        <n v="61"/>
        <n v="27"/>
        <n v="48"/>
        <n v="43"/>
        <n v="22"/>
        <n v="36"/>
        <n v="58"/>
        <n v="39"/>
        <n v="52"/>
        <n v="40"/>
        <n v="60"/>
        <n v="42"/>
        <n v="51"/>
        <n v="63"/>
        <n v="41"/>
        <n v="50"/>
        <n v="35"/>
        <n v="54"/>
        <n v="49"/>
        <n v="44"/>
        <n v="37"/>
        <n v="29"/>
        <n v="24"/>
        <n v="55"/>
        <n v="53"/>
        <n v="57"/>
        <n v="59"/>
        <n v="46"/>
        <n v="33"/>
        <n v="34"/>
        <n v="25"/>
        <n v="62"/>
        <n v="23"/>
        <n v="28"/>
        <n v="47"/>
        <n v="30"/>
        <n v="26"/>
      </sharedItems>
    </cacheField>
    <cacheField name="Ancienneté" numFmtId="1">
      <sharedItems containsSemiMixedTypes="0" containsString="0" containsNumber="1" containsInteger="1" minValue="0" maxValue="10"/>
    </cacheField>
    <cacheField name="Date Anniv. Contrat" numFmtId="14">
      <sharedItems containsSemiMixedTypes="0" containsNonDate="0" containsDate="1" containsString="0" minDate="2016-06-15T00:00:00" maxDate="2026-06-08T00:00:00"/>
    </cacheField>
  </cacheFields>
  <extLst>
    <ext xmlns:x14="http://schemas.microsoft.com/office/spreadsheetml/2009/9/main" uri="{725AE2AE-9491-48be-B2B4-4EB974FC3084}">
      <x14:pivotCacheDefinition pivotCacheId="36293208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 ducroux" refreshedDate="46167.81175173611" createdVersion="8" refreshedVersion="8" minRefreshableVersion="3" recordCount="356" xr:uid="{77AFE2ED-FFDC-4DD4-BA94-DD70C51C2BD2}">
  <cacheSource type="worksheet">
    <worksheetSource name="Sheet1"/>
  </cacheSource>
  <cacheFields count="7">
    <cacheField name="ID employé" numFmtId="0">
      <sharedItems/>
    </cacheField>
    <cacheField name="Service" numFmtId="0">
      <sharedItems count="6">
        <s v="Production"/>
        <s v="Commercial"/>
        <s v="Marketing"/>
        <s v="Finance"/>
        <s v="RH"/>
        <s v="Informatique"/>
      </sharedItems>
    </cacheField>
    <cacheField name="Mois" numFmtId="14">
      <sharedItems containsSemiMixedTypes="0" containsNonDate="0" containsDate="1" containsString="0" minDate="2024-01-01T00:00:00" maxDate="2024-12-02T00:00:00" count="12">
        <d v="2024-08-01T00:00:00"/>
        <d v="2024-10-01T00:00:00"/>
        <d v="2024-09-01T00:00:00"/>
        <d v="2024-12-01T00:00:00"/>
        <d v="2024-05-01T00:00:00"/>
        <d v="2024-02-01T00:00:00"/>
        <d v="2024-03-01T00:00:00"/>
        <d v="2024-07-01T00:00:00"/>
        <d v="2024-06-01T00:00:00"/>
        <d v="2024-04-01T00:00:00"/>
        <d v="2024-01-01T00:00:00"/>
        <d v="2024-11-01T00:00:00"/>
      </sharedItems>
      <fieldGroup par="6"/>
    </cacheField>
    <cacheField name="Type d'absence" numFmtId="0">
      <sharedItems/>
    </cacheField>
    <cacheField name="Nombre de jours" numFmtId="0">
      <sharedItems containsSemiMixedTypes="0" containsString="0" containsNumber="1" containsInteger="1" minValue="1" maxValue="10"/>
    </cacheField>
    <cacheField name="Jours (Mois)" numFmtId="0" databaseField="0">
      <fieldGroup base="2">
        <rangePr groupBy="days" startDate="2024-01-01T00:00:00" endDate="2024-12-02T00:00:00"/>
        <groupItems count="368">
          <s v="&lt;01/01/2024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2/12/2024"/>
        </groupItems>
      </fieldGroup>
    </cacheField>
    <cacheField name="Mois (Mois)" numFmtId="0" databaseField="0">
      <fieldGroup base="2">
        <rangePr groupBy="months" startDate="2024-01-01T00:00:00" endDate="2024-12-02T00:00:00"/>
        <groupItems count="14">
          <s v="&lt;01/01/202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2/12/2024"/>
        </groupItems>
      </fieldGroup>
    </cacheField>
  </cacheFields>
  <extLst>
    <ext xmlns:x14="http://schemas.microsoft.com/office/spreadsheetml/2009/9/main" uri="{725AE2AE-9491-48be-B2B4-4EB974FC3084}">
      <x14:pivotCacheDefinition pivotCacheId="10685858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s v="TEXIER"/>
    <s v="Julie"/>
    <x v="0"/>
    <d v="1969-07-09T00:00:00"/>
    <d v="2021-07-25T00:00:00"/>
    <x v="0"/>
    <x v="0"/>
    <x v="0"/>
    <n v="3298.03"/>
    <x v="0"/>
    <n v="4"/>
    <d v="2022-07-25T00:00:00"/>
  </r>
  <r>
    <x v="1"/>
    <s v="BODIN"/>
    <s v="Camille"/>
    <x v="1"/>
    <d v="1988-02-09T00:00:00"/>
    <d v="2016-08-13T00:00:00"/>
    <x v="0"/>
    <x v="1"/>
    <x v="0"/>
    <n v="2917.04"/>
    <x v="1"/>
    <n v="9"/>
    <d v="2017-08-13T00:00:00"/>
  </r>
  <r>
    <x v="2"/>
    <s v="MASSON"/>
    <s v="Julien"/>
    <x v="1"/>
    <d v="1994-03-11T00:00:00"/>
    <d v="2016-06-19T00:00:00"/>
    <x v="0"/>
    <x v="2"/>
    <x v="1"/>
    <n v="3388.61"/>
    <x v="2"/>
    <n v="9"/>
    <d v="2017-06-19T00:00:00"/>
  </r>
  <r>
    <x v="3"/>
    <s v="TECHER"/>
    <s v="Agathe"/>
    <x v="0"/>
    <d v="1995-03-08T00:00:00"/>
    <d v="2016-04-17T00:00:00"/>
    <x v="1"/>
    <x v="2"/>
    <x v="0"/>
    <n v="3913.82"/>
    <x v="3"/>
    <n v="10"/>
    <d v="2017-04-17T00:00:00"/>
  </r>
  <r>
    <x v="4"/>
    <s v="MORVAN"/>
    <s v="Maryse"/>
    <x v="1"/>
    <d v="1994-09-20T00:00:00"/>
    <d v="2016-02-13T00:00:00"/>
    <x v="1"/>
    <x v="3"/>
    <x v="1"/>
    <n v="2859.51"/>
    <x v="3"/>
    <n v="10"/>
    <d v="2017-02-13T00:00:00"/>
  </r>
  <r>
    <x v="5"/>
    <s v="GAUDIN"/>
    <s v="Susanne"/>
    <x v="1"/>
    <d v="1980-09-16T00:00:00"/>
    <d v="2021-07-08T00:00:00"/>
    <x v="0"/>
    <x v="4"/>
    <x v="1"/>
    <n v="2859.52"/>
    <x v="4"/>
    <n v="4"/>
    <d v="2022-07-08T00:00:00"/>
  </r>
  <r>
    <x v="6"/>
    <s v="THIERRY"/>
    <s v="Paulette"/>
    <x v="0"/>
    <d v="1964-07-09T00:00:00"/>
    <d v="2015-11-25T00:00:00"/>
    <x v="2"/>
    <x v="4"/>
    <x v="1"/>
    <n v="3947.53"/>
    <x v="5"/>
    <n v="10"/>
    <d v="2016-11-25T00:00:00"/>
  </r>
  <r>
    <x v="7"/>
    <s v="ROUSSEAU"/>
    <s v="Madeleine"/>
    <x v="0"/>
    <d v="1998-12-29T00:00:00"/>
    <d v="2016-03-04T00:00:00"/>
    <x v="1"/>
    <x v="0"/>
    <x v="1"/>
    <n v="3460.46"/>
    <x v="6"/>
    <n v="10"/>
    <d v="2017-03-04T00:00:00"/>
  </r>
  <r>
    <x v="8"/>
    <s v="RAYNAUD"/>
    <s v="Aurélie"/>
    <x v="1"/>
    <d v="1977-11-13T00:00:00"/>
    <d v="2024-03-01T00:00:00"/>
    <x v="2"/>
    <x v="5"/>
    <x v="1"/>
    <n v="2718.32"/>
    <x v="7"/>
    <n v="2"/>
    <d v="2025-03-01T00:00:00"/>
  </r>
  <r>
    <x v="9"/>
    <s v="GOSSELIN"/>
    <s v="Clémence"/>
    <x v="0"/>
    <d v="1998-06-29T00:00:00"/>
    <d v="2015-12-19T00:00:00"/>
    <x v="0"/>
    <x v="2"/>
    <x v="1"/>
    <n v="3325.54"/>
    <x v="6"/>
    <n v="10"/>
    <d v="2016-12-19T00:00:00"/>
  </r>
  <r>
    <x v="10"/>
    <s v="GROS"/>
    <s v="Nicolas"/>
    <x v="0"/>
    <d v="1983-01-02T00:00:00"/>
    <d v="2019-12-23T00:00:00"/>
    <x v="0"/>
    <x v="5"/>
    <x v="1"/>
    <n v="2721.95"/>
    <x v="8"/>
    <n v="6"/>
    <d v="2020-12-23T00:00:00"/>
  </r>
  <r>
    <x v="11"/>
    <s v="JOUBERT"/>
    <s v="Paulette"/>
    <x v="0"/>
    <d v="2004-04-15T00:00:00"/>
    <d v="2016-02-15T00:00:00"/>
    <x v="2"/>
    <x v="5"/>
    <x v="1"/>
    <n v="2720.56"/>
    <x v="9"/>
    <n v="10"/>
    <d v="2017-02-15T00:00:00"/>
  </r>
  <r>
    <x v="12"/>
    <s v="BAUDRY"/>
    <s v="Nathalie"/>
    <x v="0"/>
    <d v="1990-02-03T00:00:00"/>
    <d v="2024-04-26T00:00:00"/>
    <x v="0"/>
    <x v="3"/>
    <x v="0"/>
    <n v="3145.18"/>
    <x v="10"/>
    <n v="2"/>
    <d v="2025-04-26T00:00:00"/>
  </r>
  <r>
    <x v="13"/>
    <s v="RUIZ"/>
    <s v="Danielle"/>
    <x v="1"/>
    <d v="1967-12-14T00:00:00"/>
    <d v="2018-09-04T00:00:00"/>
    <x v="2"/>
    <x v="3"/>
    <x v="1"/>
    <n v="1852.03"/>
    <x v="11"/>
    <n v="7"/>
    <d v="2019-09-04T00:00:00"/>
  </r>
  <r>
    <x v="14"/>
    <s v="REYNAUD"/>
    <s v="Claire"/>
    <x v="0"/>
    <d v="1986-06-17T00:00:00"/>
    <d v="2023-11-29T00:00:00"/>
    <x v="1"/>
    <x v="2"/>
    <x v="1"/>
    <n v="1965.05"/>
    <x v="12"/>
    <n v="2"/>
    <d v="2024-11-29T00:00:00"/>
  </r>
  <r>
    <x v="15"/>
    <s v="PICHON"/>
    <s v="Isaac"/>
    <x v="0"/>
    <d v="1973-06-21T00:00:00"/>
    <d v="2020-06-09T00:00:00"/>
    <x v="1"/>
    <x v="1"/>
    <x v="1"/>
    <n v="2662.63"/>
    <x v="13"/>
    <n v="5"/>
    <d v="2021-06-09T00:00:00"/>
  </r>
  <r>
    <x v="16"/>
    <s v="MOREL"/>
    <s v="Suzanne"/>
    <x v="0"/>
    <d v="1986-01-09T00:00:00"/>
    <d v="2021-04-26T00:00:00"/>
    <x v="2"/>
    <x v="5"/>
    <x v="1"/>
    <n v="2392.3000000000002"/>
    <x v="14"/>
    <n v="5"/>
    <d v="2022-04-26T00:00:00"/>
  </r>
  <r>
    <x v="17"/>
    <s v="DUMAS"/>
    <s v="Alphonse"/>
    <x v="0"/>
    <d v="1965-08-27T00:00:00"/>
    <d v="2024-03-03T00:00:00"/>
    <x v="2"/>
    <x v="2"/>
    <x v="1"/>
    <n v="3188.55"/>
    <x v="15"/>
    <n v="2"/>
    <d v="2025-03-03T00:00:00"/>
  </r>
  <r>
    <x v="18"/>
    <s v="LEDUC"/>
    <s v="Marcelle"/>
    <x v="0"/>
    <d v="1984-01-19T00:00:00"/>
    <d v="2020-07-15T00:00:00"/>
    <x v="2"/>
    <x v="1"/>
    <x v="2"/>
    <n v="2455.19"/>
    <x v="16"/>
    <n v="5"/>
    <d v="2021-07-15T00:00:00"/>
  </r>
  <r>
    <x v="19"/>
    <s v="LACROIX"/>
    <s v="Michèle"/>
    <x v="0"/>
    <d v="1974-07-10T00:00:00"/>
    <d v="2015-08-09T00:00:00"/>
    <x v="1"/>
    <x v="1"/>
    <x v="0"/>
    <n v="2152.62"/>
    <x v="17"/>
    <n v="10"/>
    <d v="2016-08-09T00:00:00"/>
  </r>
  <r>
    <x v="20"/>
    <s v="JEAN"/>
    <s v="Audrey"/>
    <x v="1"/>
    <d v="1962-09-03T00:00:00"/>
    <d v="2016-08-16T00:00:00"/>
    <x v="1"/>
    <x v="0"/>
    <x v="1"/>
    <n v="3879.39"/>
    <x v="18"/>
    <n v="9"/>
    <d v="2017-08-16T00:00:00"/>
  </r>
  <r>
    <x v="21"/>
    <s v="DUMONT"/>
    <s v="Georges"/>
    <x v="1"/>
    <d v="1985-05-09T00:00:00"/>
    <d v="2020-05-12T00:00:00"/>
    <x v="1"/>
    <x v="4"/>
    <x v="1"/>
    <n v="2864.53"/>
    <x v="19"/>
    <n v="6"/>
    <d v="2021-05-12T00:00:00"/>
  </r>
  <r>
    <x v="22"/>
    <s v="CARON"/>
    <s v="Jean"/>
    <x v="0"/>
    <d v="1975-07-29T00:00:00"/>
    <d v="2015-08-26T00:00:00"/>
    <x v="0"/>
    <x v="3"/>
    <x v="1"/>
    <n v="3040.52"/>
    <x v="20"/>
    <n v="10"/>
    <d v="2016-08-26T00:00:00"/>
  </r>
  <r>
    <x v="23"/>
    <s v="BLOT"/>
    <s v="Nicolas"/>
    <x v="1"/>
    <d v="1990-07-30T00:00:00"/>
    <d v="2023-03-18T00:00:00"/>
    <x v="0"/>
    <x v="0"/>
    <x v="1"/>
    <n v="2145.15"/>
    <x v="21"/>
    <n v="3"/>
    <d v="2024-03-18T00:00:00"/>
  </r>
  <r>
    <x v="24"/>
    <s v="CHARLES"/>
    <s v="Anne"/>
    <x v="1"/>
    <d v="1980-07-25T00:00:00"/>
    <d v="2022-03-30T00:00:00"/>
    <x v="1"/>
    <x v="4"/>
    <x v="1"/>
    <n v="2673.37"/>
    <x v="4"/>
    <n v="4"/>
    <d v="2023-03-30T00:00:00"/>
  </r>
  <r>
    <x v="25"/>
    <s v="DA COSTA"/>
    <s v="Hélène"/>
    <x v="1"/>
    <d v="1963-02-27T00:00:00"/>
    <d v="2017-09-05T00:00:00"/>
    <x v="1"/>
    <x v="4"/>
    <x v="2"/>
    <n v="3066.55"/>
    <x v="18"/>
    <n v="8"/>
    <d v="2018-09-05T00:00:00"/>
  </r>
  <r>
    <x v="26"/>
    <s v="ALVES"/>
    <s v="Alexandre"/>
    <x v="1"/>
    <d v="1985-04-23T00:00:00"/>
    <d v="2016-10-22T00:00:00"/>
    <x v="2"/>
    <x v="2"/>
    <x v="1"/>
    <n v="2309.4"/>
    <x v="19"/>
    <n v="9"/>
    <d v="2017-10-22T00:00:00"/>
  </r>
  <r>
    <x v="27"/>
    <s v="WEISS"/>
    <s v="Mathilde"/>
    <x v="0"/>
    <d v="1982-12-13T00:00:00"/>
    <d v="2018-06-03T00:00:00"/>
    <x v="0"/>
    <x v="3"/>
    <x v="0"/>
    <n v="3225.42"/>
    <x v="8"/>
    <n v="7"/>
    <d v="2019-06-03T00:00:00"/>
  </r>
  <r>
    <x v="28"/>
    <s v="HUMBERT"/>
    <s v="Eugène"/>
    <x v="1"/>
    <d v="1971-11-13T00:00:00"/>
    <d v="2016-09-22T00:00:00"/>
    <x v="0"/>
    <x v="2"/>
    <x v="0"/>
    <n v="2639.62"/>
    <x v="22"/>
    <n v="9"/>
    <d v="2017-09-22T00:00:00"/>
  </r>
  <r>
    <x v="29"/>
    <s v="CARON"/>
    <s v="Claude"/>
    <x v="1"/>
    <d v="1964-07-21T00:00:00"/>
    <d v="2024-08-27T00:00:00"/>
    <x v="2"/>
    <x v="2"/>
    <x v="1"/>
    <n v="2824.98"/>
    <x v="5"/>
    <n v="1"/>
    <d v="2025-08-27T00:00:00"/>
  </r>
  <r>
    <x v="30"/>
    <s v="SIMON"/>
    <s v="Daniel"/>
    <x v="1"/>
    <d v="1976-11-25T00:00:00"/>
    <d v="2023-10-03T00:00:00"/>
    <x v="1"/>
    <x v="0"/>
    <x v="1"/>
    <n v="2638.98"/>
    <x v="23"/>
    <n v="2"/>
    <d v="2024-10-03T00:00:00"/>
  </r>
  <r>
    <x v="31"/>
    <s v="DIJOUX"/>
    <s v="Alexandre"/>
    <x v="1"/>
    <d v="1977-12-04T00:00:00"/>
    <d v="2025-02-14T00:00:00"/>
    <x v="1"/>
    <x v="1"/>
    <x v="2"/>
    <n v="4111.37"/>
    <x v="7"/>
    <n v="1"/>
    <d v="2026-02-14T00:00:00"/>
  </r>
  <r>
    <x v="32"/>
    <s v="VERDIER"/>
    <s v="Louis"/>
    <x v="1"/>
    <d v="1990-01-17T00:00:00"/>
    <d v="2023-12-27T00:00:00"/>
    <x v="2"/>
    <x v="5"/>
    <x v="1"/>
    <n v="2991.9"/>
    <x v="10"/>
    <n v="2"/>
    <d v="2024-12-27T00:00:00"/>
  </r>
  <r>
    <x v="33"/>
    <s v="JOUBERT"/>
    <s v="Patricia"/>
    <x v="1"/>
    <d v="1990-10-17T00:00:00"/>
    <d v="2019-12-08T00:00:00"/>
    <x v="1"/>
    <x v="5"/>
    <x v="1"/>
    <n v="2365.37"/>
    <x v="21"/>
    <n v="6"/>
    <d v="2020-12-08T00:00:00"/>
  </r>
  <r>
    <x v="34"/>
    <s v="CLÉMENT"/>
    <s v="Claudine"/>
    <x v="0"/>
    <d v="1982-01-01T00:00:00"/>
    <d v="2015-11-09T00:00:00"/>
    <x v="2"/>
    <x v="3"/>
    <x v="2"/>
    <n v="3493.53"/>
    <x v="24"/>
    <n v="10"/>
    <d v="2016-11-09T00:00:00"/>
  </r>
  <r>
    <x v="35"/>
    <s v="BOULAY"/>
    <s v="Margaux"/>
    <x v="1"/>
    <d v="1983-01-13T00:00:00"/>
    <d v="2020-06-15T00:00:00"/>
    <x v="1"/>
    <x v="4"/>
    <x v="1"/>
    <n v="2267.4899999999998"/>
    <x v="8"/>
    <n v="5"/>
    <d v="2021-06-15T00:00:00"/>
  </r>
  <r>
    <x v="36"/>
    <s v="VASSEUR"/>
    <s v="Charlotte"/>
    <x v="1"/>
    <d v="1989-03-08T00:00:00"/>
    <d v="2019-04-11T00:00:00"/>
    <x v="2"/>
    <x v="1"/>
    <x v="1"/>
    <n v="3125.32"/>
    <x v="25"/>
    <n v="7"/>
    <d v="2020-04-11T00:00:00"/>
  </r>
  <r>
    <x v="37"/>
    <s v="LAPORTE"/>
    <s v="Adrienne"/>
    <x v="0"/>
    <d v="1969-11-25T00:00:00"/>
    <d v="2019-08-01T00:00:00"/>
    <x v="2"/>
    <x v="0"/>
    <x v="2"/>
    <n v="1824.2"/>
    <x v="0"/>
    <n v="6"/>
    <d v="2020-08-01T00:00:00"/>
  </r>
  <r>
    <x v="38"/>
    <s v="CLÉMENT"/>
    <s v="Sylvie"/>
    <x v="0"/>
    <d v="1987-07-29T00:00:00"/>
    <d v="2015-06-15T00:00:00"/>
    <x v="0"/>
    <x v="5"/>
    <x v="2"/>
    <n v="2203.09"/>
    <x v="1"/>
    <n v="10"/>
    <d v="2016-06-15T00:00:00"/>
  </r>
  <r>
    <x v="39"/>
    <s v="HUBERT"/>
    <s v="Marie"/>
    <x v="1"/>
    <d v="1962-09-27T00:00:00"/>
    <d v="2020-03-05T00:00:00"/>
    <x v="1"/>
    <x v="0"/>
    <x v="2"/>
    <n v="3118.12"/>
    <x v="18"/>
    <n v="6"/>
    <d v="2021-03-05T00:00:00"/>
  </r>
  <r>
    <x v="40"/>
    <s v="RIBEIRO"/>
    <s v="David"/>
    <x v="1"/>
    <d v="1977-05-09T00:00:00"/>
    <d v="2022-03-12T00:00:00"/>
    <x v="2"/>
    <x v="4"/>
    <x v="1"/>
    <n v="3443.08"/>
    <x v="23"/>
    <n v="4"/>
    <d v="2023-03-12T00:00:00"/>
  </r>
  <r>
    <x v="41"/>
    <s v="AUGER"/>
    <s v="Adrien"/>
    <x v="1"/>
    <d v="1997-03-13T00:00:00"/>
    <d v="2025-01-02T00:00:00"/>
    <x v="1"/>
    <x v="0"/>
    <x v="0"/>
    <n v="3102.82"/>
    <x v="26"/>
    <n v="1"/>
    <d v="2026-01-02T00:00:00"/>
  </r>
  <r>
    <x v="42"/>
    <s v="MARTIN"/>
    <s v="Inès"/>
    <x v="1"/>
    <d v="1990-08-02T00:00:00"/>
    <d v="2021-09-28T00:00:00"/>
    <x v="0"/>
    <x v="2"/>
    <x v="1"/>
    <n v="2930.61"/>
    <x v="21"/>
    <n v="4"/>
    <d v="2022-09-28T00:00:00"/>
  </r>
  <r>
    <x v="43"/>
    <s v="LABBÉ"/>
    <s v="Margaret"/>
    <x v="0"/>
    <d v="1965-06-19T00:00:00"/>
    <d v="2020-10-12T00:00:00"/>
    <x v="0"/>
    <x v="1"/>
    <x v="1"/>
    <n v="2819.34"/>
    <x v="15"/>
    <n v="5"/>
    <d v="2021-10-12T00:00:00"/>
  </r>
  <r>
    <x v="44"/>
    <s v="ROUSSEAU"/>
    <s v="Renée"/>
    <x v="1"/>
    <d v="2001-11-27T00:00:00"/>
    <d v="2019-09-13T00:00:00"/>
    <x v="0"/>
    <x v="4"/>
    <x v="1"/>
    <n v="2112.89"/>
    <x v="27"/>
    <n v="6"/>
    <d v="2020-09-13T00:00:00"/>
  </r>
  <r>
    <x v="45"/>
    <s v="DELAHAYE"/>
    <s v="Constance"/>
    <x v="1"/>
    <d v="1985-12-10T00:00:00"/>
    <d v="2020-08-28T00:00:00"/>
    <x v="2"/>
    <x v="5"/>
    <x v="1"/>
    <n v="2568.09"/>
    <x v="14"/>
    <n v="5"/>
    <d v="2021-08-28T00:00:00"/>
  </r>
  <r>
    <x v="46"/>
    <s v="PIRES"/>
    <s v="Audrey"/>
    <x v="0"/>
    <d v="1983-03-04T00:00:00"/>
    <d v="2019-04-02T00:00:00"/>
    <x v="1"/>
    <x v="0"/>
    <x v="1"/>
    <n v="2723.62"/>
    <x v="8"/>
    <n v="7"/>
    <d v="2020-04-02T00:00:00"/>
  </r>
  <r>
    <x v="47"/>
    <s v="TORRES"/>
    <s v="Jacques"/>
    <x v="0"/>
    <d v="1990-02-13T00:00:00"/>
    <d v="2017-05-29T00:00:00"/>
    <x v="2"/>
    <x v="2"/>
    <x v="1"/>
    <n v="3634.27"/>
    <x v="10"/>
    <n v="8"/>
    <d v="2018-05-29T00:00:00"/>
  </r>
  <r>
    <x v="48"/>
    <s v="DUPUY"/>
    <s v="Alexandre"/>
    <x v="0"/>
    <d v="1965-09-09T00:00:00"/>
    <d v="2020-03-21T00:00:00"/>
    <x v="2"/>
    <x v="4"/>
    <x v="0"/>
    <n v="3206.17"/>
    <x v="15"/>
    <n v="6"/>
    <d v="2021-03-21T00:00:00"/>
  </r>
  <r>
    <x v="49"/>
    <s v="HUET"/>
    <s v="Nathalie"/>
    <x v="0"/>
    <d v="1962-08-23T00:00:00"/>
    <d v="2019-07-28T00:00:00"/>
    <x v="1"/>
    <x v="4"/>
    <x v="1"/>
    <n v="1942.18"/>
    <x v="18"/>
    <n v="6"/>
    <d v="2020-07-28T00:00:00"/>
  </r>
  <r>
    <x v="50"/>
    <s v="LEBLANC"/>
    <s v="Michèle"/>
    <x v="1"/>
    <d v="1970-07-29T00:00:00"/>
    <d v="2020-08-28T00:00:00"/>
    <x v="2"/>
    <x v="4"/>
    <x v="1"/>
    <n v="3194.45"/>
    <x v="28"/>
    <n v="5"/>
    <d v="2021-08-28T00:00:00"/>
  </r>
  <r>
    <x v="51"/>
    <s v="LACOMBE"/>
    <s v="Gilles"/>
    <x v="0"/>
    <d v="1983-07-08T00:00:00"/>
    <d v="2016-08-05T00:00:00"/>
    <x v="1"/>
    <x v="1"/>
    <x v="1"/>
    <n v="2768.95"/>
    <x v="16"/>
    <n v="9"/>
    <d v="2017-08-05T00:00:00"/>
  </r>
  <r>
    <x v="52"/>
    <s v="BONNEAU"/>
    <s v="David"/>
    <x v="0"/>
    <d v="1989-12-11T00:00:00"/>
    <d v="2017-11-26T00:00:00"/>
    <x v="2"/>
    <x v="5"/>
    <x v="1"/>
    <n v="2593.85"/>
    <x v="10"/>
    <n v="8"/>
    <d v="2018-11-26T00:00:00"/>
  </r>
  <r>
    <x v="53"/>
    <s v="BAILLY"/>
    <s v="Bernard"/>
    <x v="1"/>
    <d v="1972-12-10T00:00:00"/>
    <d v="2019-12-09T00:00:00"/>
    <x v="1"/>
    <x v="5"/>
    <x v="1"/>
    <n v="3367.01"/>
    <x v="29"/>
    <n v="6"/>
    <d v="2020-12-09T00:00:00"/>
  </r>
  <r>
    <x v="54"/>
    <s v="LEBON"/>
    <s v="Thibault"/>
    <x v="0"/>
    <d v="1984-11-13T00:00:00"/>
    <d v="2019-09-30T00:00:00"/>
    <x v="2"/>
    <x v="3"/>
    <x v="1"/>
    <n v="3618.6"/>
    <x v="19"/>
    <n v="6"/>
    <d v="2020-09-30T00:00:00"/>
  </r>
  <r>
    <x v="55"/>
    <s v="GAUTIER"/>
    <s v="Julie"/>
    <x v="1"/>
    <d v="1969-03-10T00:00:00"/>
    <d v="2021-05-15T00:00:00"/>
    <x v="1"/>
    <x v="5"/>
    <x v="1"/>
    <n v="3558.77"/>
    <x v="30"/>
    <n v="5"/>
    <d v="2022-05-15T00:00:00"/>
  </r>
  <r>
    <x v="56"/>
    <s v="JOSEPH"/>
    <s v="Manon"/>
    <x v="0"/>
    <d v="1966-07-04T00:00:00"/>
    <d v="2020-05-13T00:00:00"/>
    <x v="0"/>
    <x v="4"/>
    <x v="2"/>
    <n v="2496.4699999999998"/>
    <x v="31"/>
    <n v="6"/>
    <d v="2021-05-13T00:00:00"/>
  </r>
  <r>
    <x v="57"/>
    <s v="LECOMTE"/>
    <s v="André"/>
    <x v="1"/>
    <d v="1982-03-11T00:00:00"/>
    <d v="2017-01-16T00:00:00"/>
    <x v="1"/>
    <x v="0"/>
    <x v="0"/>
    <n v="2814.47"/>
    <x v="24"/>
    <n v="9"/>
    <d v="2018-01-16T00:00:00"/>
  </r>
  <r>
    <x v="58"/>
    <s v="GALLET"/>
    <s v="Françoise"/>
    <x v="0"/>
    <d v="1979-07-11T00:00:00"/>
    <d v="2020-10-16T00:00:00"/>
    <x v="1"/>
    <x v="0"/>
    <x v="1"/>
    <n v="3198.76"/>
    <x v="32"/>
    <n v="5"/>
    <d v="2021-10-16T00:00:00"/>
  </r>
  <r>
    <x v="59"/>
    <s v="OLLIVIER"/>
    <s v="Noël"/>
    <x v="0"/>
    <d v="1976-12-26T00:00:00"/>
    <d v="2017-09-03T00:00:00"/>
    <x v="1"/>
    <x v="3"/>
    <x v="1"/>
    <n v="3585.33"/>
    <x v="23"/>
    <n v="8"/>
    <d v="2018-09-03T00:00:00"/>
  </r>
  <r>
    <x v="60"/>
    <s v="RIOU"/>
    <s v="Jean"/>
    <x v="0"/>
    <d v="1996-09-21T00:00:00"/>
    <d v="2023-02-27T00:00:00"/>
    <x v="2"/>
    <x v="1"/>
    <x v="1"/>
    <n v="2712.5"/>
    <x v="26"/>
    <n v="3"/>
    <d v="2024-02-27T00:00:00"/>
  </r>
  <r>
    <x v="61"/>
    <s v="FOURNIER"/>
    <s v="François"/>
    <x v="0"/>
    <d v="1970-05-23T00:00:00"/>
    <d v="2015-09-17T00:00:00"/>
    <x v="0"/>
    <x v="0"/>
    <x v="1"/>
    <n v="2888.6"/>
    <x v="0"/>
    <n v="10"/>
    <d v="2016-09-17T00:00:00"/>
  </r>
  <r>
    <x v="62"/>
    <s v="MAILLOT"/>
    <s v="Brigitte"/>
    <x v="1"/>
    <d v="1973-11-09T00:00:00"/>
    <d v="2020-09-05T00:00:00"/>
    <x v="2"/>
    <x v="4"/>
    <x v="1"/>
    <n v="2336.1999999999998"/>
    <x v="13"/>
    <n v="5"/>
    <d v="2021-09-05T00:00:00"/>
  </r>
  <r>
    <x v="63"/>
    <s v="ROYER"/>
    <s v="Alix"/>
    <x v="0"/>
    <d v="1992-11-09T00:00:00"/>
    <d v="2015-08-15T00:00:00"/>
    <x v="1"/>
    <x v="2"/>
    <x v="1"/>
    <n v="2282.2800000000002"/>
    <x v="33"/>
    <n v="10"/>
    <d v="2016-08-15T00:00:00"/>
  </r>
  <r>
    <x v="64"/>
    <s v="MUNOZ"/>
    <s v="Philippe"/>
    <x v="0"/>
    <d v="1988-10-11T00:00:00"/>
    <d v="2017-06-02T00:00:00"/>
    <x v="1"/>
    <x v="0"/>
    <x v="1"/>
    <n v="3487.52"/>
    <x v="25"/>
    <n v="8"/>
    <d v="2018-06-02T00:00:00"/>
  </r>
  <r>
    <x v="65"/>
    <s v="GROS"/>
    <s v="Amélie"/>
    <x v="1"/>
    <d v="1988-05-04T00:00:00"/>
    <d v="2021-08-20T00:00:00"/>
    <x v="0"/>
    <x v="2"/>
    <x v="0"/>
    <n v="3813.74"/>
    <x v="1"/>
    <n v="4"/>
    <d v="2022-08-20T00:00:00"/>
  </r>
  <r>
    <x v="66"/>
    <s v="FLEURY"/>
    <s v="Alice"/>
    <x v="1"/>
    <d v="1967-06-10T00:00:00"/>
    <d v="2023-03-01T00:00:00"/>
    <x v="2"/>
    <x v="2"/>
    <x v="0"/>
    <n v="2956.79"/>
    <x v="11"/>
    <n v="3"/>
    <d v="2024-03-01T00:00:00"/>
  </r>
  <r>
    <x v="67"/>
    <s v="MOREL"/>
    <s v="Benjamin"/>
    <x v="0"/>
    <d v="1967-06-13T00:00:00"/>
    <d v="2017-07-04T00:00:00"/>
    <x v="1"/>
    <x v="2"/>
    <x v="0"/>
    <n v="3602.12"/>
    <x v="11"/>
    <n v="8"/>
    <d v="2018-07-04T00:00:00"/>
  </r>
  <r>
    <x v="68"/>
    <s v="MULLER"/>
    <s v="Brigitte"/>
    <x v="1"/>
    <d v="1966-12-05T00:00:00"/>
    <d v="2022-10-22T00:00:00"/>
    <x v="1"/>
    <x v="1"/>
    <x v="1"/>
    <n v="3216.98"/>
    <x v="31"/>
    <n v="3"/>
    <d v="2023-10-22T00:00:00"/>
  </r>
  <r>
    <x v="69"/>
    <s v="PERROT"/>
    <s v="Capucine"/>
    <x v="1"/>
    <d v="1996-07-26T00:00:00"/>
    <d v="2024-01-01T00:00:00"/>
    <x v="0"/>
    <x v="3"/>
    <x v="1"/>
    <n v="2612.9299999999998"/>
    <x v="26"/>
    <n v="2"/>
    <d v="2025-01-01T00:00:00"/>
  </r>
  <r>
    <x v="70"/>
    <s v="HAMON"/>
    <s v="Patrick"/>
    <x v="1"/>
    <d v="1987-02-11T00:00:00"/>
    <d v="2018-11-08T00:00:00"/>
    <x v="0"/>
    <x v="0"/>
    <x v="2"/>
    <n v="3216.84"/>
    <x v="12"/>
    <n v="7"/>
    <d v="2019-11-08T00:00:00"/>
  </r>
  <r>
    <x v="71"/>
    <s v="JACQUES"/>
    <s v="Sophie"/>
    <x v="1"/>
    <d v="1978-04-12T00:00:00"/>
    <d v="2024-06-19T00:00:00"/>
    <x v="1"/>
    <x v="4"/>
    <x v="1"/>
    <n v="3922.82"/>
    <x v="7"/>
    <n v="1"/>
    <d v="2025-06-19T00:00:00"/>
  </r>
  <r>
    <x v="72"/>
    <s v="OLLIVIER"/>
    <s v="Colette"/>
    <x v="1"/>
    <d v="2003-07-19T00:00:00"/>
    <d v="2018-03-14T00:00:00"/>
    <x v="0"/>
    <x v="2"/>
    <x v="0"/>
    <n v="2978.5"/>
    <x v="9"/>
    <n v="8"/>
    <d v="2019-03-14T00:00:00"/>
  </r>
  <r>
    <x v="73"/>
    <s v="MOREL"/>
    <s v="Antoine"/>
    <x v="1"/>
    <d v="1967-11-12T00:00:00"/>
    <d v="2024-10-22T00:00:00"/>
    <x v="2"/>
    <x v="3"/>
    <x v="1"/>
    <n v="3938.79"/>
    <x v="11"/>
    <n v="1"/>
    <d v="2025-10-22T00:00:00"/>
  </r>
  <r>
    <x v="74"/>
    <s v="PIRES"/>
    <s v="François"/>
    <x v="1"/>
    <d v="1991-06-24T00:00:00"/>
    <d v="2022-07-23T00:00:00"/>
    <x v="1"/>
    <x v="4"/>
    <x v="1"/>
    <n v="1800"/>
    <x v="34"/>
    <n v="3"/>
    <d v="2023-07-23T00:00:00"/>
  </r>
  <r>
    <x v="75"/>
    <s v="GIRARD"/>
    <s v="Geneviève"/>
    <x v="0"/>
    <d v="1997-02-15T00:00:00"/>
    <d v="2023-11-08T00:00:00"/>
    <x v="2"/>
    <x v="2"/>
    <x v="1"/>
    <n v="3493.14"/>
    <x v="26"/>
    <n v="2"/>
    <d v="2024-11-08T00:00:00"/>
  </r>
  <r>
    <x v="76"/>
    <s v="CHAUVEAU"/>
    <s v="Aimée"/>
    <x v="0"/>
    <d v="1999-01-17T00:00:00"/>
    <d v="2021-07-06T00:00:00"/>
    <x v="0"/>
    <x v="2"/>
    <x v="1"/>
    <n v="3052.23"/>
    <x v="6"/>
    <n v="4"/>
    <d v="2022-07-06T00:00:00"/>
  </r>
  <r>
    <x v="77"/>
    <s v="ALEXANDRE"/>
    <s v="Maurice"/>
    <x v="1"/>
    <d v="1966-10-29T00:00:00"/>
    <d v="2021-02-20T00:00:00"/>
    <x v="1"/>
    <x v="0"/>
    <x v="1"/>
    <n v="2820.6"/>
    <x v="31"/>
    <n v="5"/>
    <d v="2022-02-20T00:00:00"/>
  </r>
  <r>
    <x v="78"/>
    <s v="RIBEIRO"/>
    <s v="Adrienne"/>
    <x v="1"/>
    <d v="1968-02-23T00:00:00"/>
    <d v="2019-11-11T00:00:00"/>
    <x v="0"/>
    <x v="0"/>
    <x v="1"/>
    <n v="3055.06"/>
    <x v="11"/>
    <n v="6"/>
    <d v="2020-11-11T00:00:00"/>
  </r>
  <r>
    <x v="79"/>
    <s v="SEGUIN"/>
    <s v="Philippe"/>
    <x v="1"/>
    <d v="1962-12-15T00:00:00"/>
    <d v="2019-03-13T00:00:00"/>
    <x v="2"/>
    <x v="1"/>
    <x v="1"/>
    <n v="1807.46"/>
    <x v="18"/>
    <n v="7"/>
    <d v="2020-03-13T00:00:00"/>
  </r>
  <r>
    <x v="80"/>
    <s v="LOUIS"/>
    <s v="Marc"/>
    <x v="1"/>
    <d v="1975-02-23T00:00:00"/>
    <d v="2018-12-15T00:00:00"/>
    <x v="1"/>
    <x v="3"/>
    <x v="1"/>
    <n v="2868.2"/>
    <x v="17"/>
    <n v="7"/>
    <d v="2019-12-15T00:00:00"/>
  </r>
  <r>
    <x v="81"/>
    <s v="ROLLAND"/>
    <s v="Marcel"/>
    <x v="0"/>
    <d v="1970-10-03T00:00:00"/>
    <d v="2024-01-29T00:00:00"/>
    <x v="2"/>
    <x v="5"/>
    <x v="2"/>
    <n v="3214.27"/>
    <x v="28"/>
    <n v="2"/>
    <d v="2025-01-29T00:00:00"/>
  </r>
  <r>
    <x v="82"/>
    <s v="LELIÈVRE"/>
    <s v="Arthur"/>
    <x v="0"/>
    <d v="1980-07-08T00:00:00"/>
    <d v="2022-04-04T00:00:00"/>
    <x v="1"/>
    <x v="2"/>
    <x v="1"/>
    <n v="3886.74"/>
    <x v="4"/>
    <n v="4"/>
    <d v="2023-04-04T00:00:00"/>
  </r>
  <r>
    <x v="83"/>
    <s v="BOUSQUET"/>
    <s v="Anastasie"/>
    <x v="1"/>
    <d v="1994-09-01T00:00:00"/>
    <d v="2017-10-11T00:00:00"/>
    <x v="1"/>
    <x v="1"/>
    <x v="2"/>
    <n v="2689.04"/>
    <x v="3"/>
    <n v="8"/>
    <d v="2018-10-11T00:00:00"/>
  </r>
  <r>
    <x v="84"/>
    <s v="BRUNEL"/>
    <s v="Raymond"/>
    <x v="0"/>
    <d v="1991-04-12T00:00:00"/>
    <d v="2025-05-31T00:00:00"/>
    <x v="1"/>
    <x v="0"/>
    <x v="1"/>
    <n v="2514.9"/>
    <x v="21"/>
    <n v="0"/>
    <d v="2026-05-31T00:00:00"/>
  </r>
  <r>
    <x v="85"/>
    <s v="FRANÇOIS"/>
    <s v="Pauline"/>
    <x v="0"/>
    <d v="1999-01-09T00:00:00"/>
    <d v="2019-12-05T00:00:00"/>
    <x v="2"/>
    <x v="2"/>
    <x v="1"/>
    <n v="2698.95"/>
    <x v="6"/>
    <n v="6"/>
    <d v="2020-12-05T00:00:00"/>
  </r>
  <r>
    <x v="86"/>
    <s v="FOUCHER"/>
    <s v="Roger"/>
    <x v="1"/>
    <d v="1972-03-21T00:00:00"/>
    <d v="2023-12-06T00:00:00"/>
    <x v="0"/>
    <x v="4"/>
    <x v="1"/>
    <n v="3549.24"/>
    <x v="22"/>
    <n v="2"/>
    <d v="2024-12-06T00:00:00"/>
  </r>
  <r>
    <x v="87"/>
    <s v="MILLET"/>
    <s v="Michèle"/>
    <x v="0"/>
    <d v="2000-08-06T00:00:00"/>
    <d v="2025-04-03T00:00:00"/>
    <x v="1"/>
    <x v="0"/>
    <x v="1"/>
    <n v="3197.25"/>
    <x v="35"/>
    <n v="1"/>
    <d v="2026-04-03T00:00:00"/>
  </r>
  <r>
    <x v="88"/>
    <s v="CHAUVEAU"/>
    <s v="Océane"/>
    <x v="0"/>
    <d v="1985-11-14T00:00:00"/>
    <d v="2021-08-12T00:00:00"/>
    <x v="0"/>
    <x v="5"/>
    <x v="1"/>
    <n v="2682.14"/>
    <x v="14"/>
    <n v="4"/>
    <d v="2022-08-12T00:00:00"/>
  </r>
  <r>
    <x v="89"/>
    <s v="HUMBERT"/>
    <s v="Juliette"/>
    <x v="0"/>
    <d v="1997-03-24T00:00:00"/>
    <d v="2025-06-07T00:00:00"/>
    <x v="1"/>
    <x v="4"/>
    <x v="0"/>
    <n v="3307.96"/>
    <x v="26"/>
    <n v="0"/>
    <d v="2026-06-07T00:00:00"/>
  </r>
  <r>
    <x v="90"/>
    <s v="DELAHAYE"/>
    <s v="Michel"/>
    <x v="0"/>
    <d v="2004-01-06T00:00:00"/>
    <d v="2016-12-31T00:00:00"/>
    <x v="2"/>
    <x v="5"/>
    <x v="1"/>
    <n v="3058.25"/>
    <x v="9"/>
    <n v="9"/>
    <d v="2017-12-31T00:00:00"/>
  </r>
  <r>
    <x v="91"/>
    <s v="LEDUC"/>
    <s v="Julien"/>
    <x v="0"/>
    <d v="1963-08-26T00:00:00"/>
    <d v="2024-07-31T00:00:00"/>
    <x v="2"/>
    <x v="2"/>
    <x v="1"/>
    <n v="3581.19"/>
    <x v="36"/>
    <n v="1"/>
    <d v="2025-07-31T00:00:00"/>
  </r>
  <r>
    <x v="92"/>
    <s v="FERNANDEZ"/>
    <s v="Hugues"/>
    <x v="1"/>
    <d v="1978-03-09T00:00:00"/>
    <d v="2016-05-18T00:00:00"/>
    <x v="1"/>
    <x v="3"/>
    <x v="1"/>
    <n v="2578.77"/>
    <x v="7"/>
    <n v="10"/>
    <d v="2017-05-18T00:00:00"/>
  </r>
  <r>
    <x v="93"/>
    <s v="MOREAU"/>
    <s v="Raymond"/>
    <x v="0"/>
    <d v="1964-12-16T00:00:00"/>
    <d v="2024-09-12T00:00:00"/>
    <x v="1"/>
    <x v="5"/>
    <x v="0"/>
    <n v="2803.4"/>
    <x v="5"/>
    <n v="1"/>
    <d v="2025-09-12T00:00:00"/>
  </r>
  <r>
    <x v="94"/>
    <s v="LE GOFF"/>
    <s v="Gilles"/>
    <x v="0"/>
    <d v="1973-09-01T00:00:00"/>
    <d v="2018-07-22T00:00:00"/>
    <x v="0"/>
    <x v="1"/>
    <x v="0"/>
    <n v="2764.74"/>
    <x v="13"/>
    <n v="7"/>
    <d v="2019-07-22T00:00:00"/>
  </r>
  <r>
    <x v="95"/>
    <s v="NORMAND"/>
    <s v="Rémy"/>
    <x v="0"/>
    <d v="1971-11-30T00:00:00"/>
    <d v="2018-04-08T00:00:00"/>
    <x v="2"/>
    <x v="4"/>
    <x v="1"/>
    <n v="2121.89"/>
    <x v="22"/>
    <n v="8"/>
    <d v="2019-04-08T00:00:00"/>
  </r>
  <r>
    <x v="96"/>
    <s v="GUIBERT"/>
    <s v="Élise"/>
    <x v="0"/>
    <d v="1976-08-05T00:00:00"/>
    <d v="2016-04-13T00:00:00"/>
    <x v="0"/>
    <x v="1"/>
    <x v="1"/>
    <n v="3177.67"/>
    <x v="23"/>
    <n v="10"/>
    <d v="2017-04-13T00:00:00"/>
  </r>
  <r>
    <x v="97"/>
    <s v="CORDIER"/>
    <s v="Antoinette"/>
    <x v="1"/>
    <d v="1984-06-28T00:00:00"/>
    <d v="2017-11-04T00:00:00"/>
    <x v="0"/>
    <x v="4"/>
    <x v="0"/>
    <n v="3156.63"/>
    <x v="19"/>
    <n v="8"/>
    <d v="2018-11-04T00:00:00"/>
  </r>
  <r>
    <x v="98"/>
    <s v="DUVAL"/>
    <s v="Adélaïde"/>
    <x v="0"/>
    <d v="1973-07-10T00:00:00"/>
    <d v="2018-12-11T00:00:00"/>
    <x v="1"/>
    <x v="0"/>
    <x v="1"/>
    <n v="3003.07"/>
    <x v="13"/>
    <n v="7"/>
    <d v="2019-12-11T00:00:00"/>
  </r>
  <r>
    <x v="99"/>
    <s v="GERMAIN"/>
    <s v="Jacques"/>
    <x v="1"/>
    <d v="2002-12-29T00:00:00"/>
    <d v="2018-08-19T00:00:00"/>
    <x v="1"/>
    <x v="3"/>
    <x v="0"/>
    <n v="2859.25"/>
    <x v="37"/>
    <n v="7"/>
    <d v="2019-08-19T00:00:00"/>
  </r>
  <r>
    <x v="100"/>
    <s v="PEREZ"/>
    <s v="Christelle"/>
    <x v="0"/>
    <d v="1988-12-23T00:00:00"/>
    <d v="2025-01-07T00:00:00"/>
    <x v="0"/>
    <x v="3"/>
    <x v="0"/>
    <n v="2150.7800000000002"/>
    <x v="25"/>
    <n v="1"/>
    <d v="2026-01-07T00:00:00"/>
  </r>
  <r>
    <x v="101"/>
    <s v="PERRET"/>
    <s v="Éric"/>
    <x v="0"/>
    <d v="1979-11-19T00:00:00"/>
    <d v="2022-11-27T00:00:00"/>
    <x v="0"/>
    <x v="4"/>
    <x v="1"/>
    <n v="2747.61"/>
    <x v="32"/>
    <n v="3"/>
    <d v="2023-11-27T00:00:00"/>
  </r>
  <r>
    <x v="102"/>
    <s v="BOURDON"/>
    <s v="Roger"/>
    <x v="0"/>
    <d v="1974-07-11T00:00:00"/>
    <d v="2015-11-20T00:00:00"/>
    <x v="1"/>
    <x v="5"/>
    <x v="0"/>
    <n v="2794.37"/>
    <x v="17"/>
    <n v="10"/>
    <d v="2016-11-20T00:00:00"/>
  </r>
  <r>
    <x v="103"/>
    <s v="COLIN"/>
    <s v="Astrid"/>
    <x v="0"/>
    <d v="1986-03-23T00:00:00"/>
    <d v="2020-01-31T00:00:00"/>
    <x v="1"/>
    <x v="1"/>
    <x v="1"/>
    <n v="2518.63"/>
    <x v="14"/>
    <n v="6"/>
    <d v="2021-01-31T00:00:00"/>
  </r>
  <r>
    <x v="104"/>
    <s v="LECOMTE"/>
    <s v="Hélène"/>
    <x v="1"/>
    <d v="1997-05-30T00:00:00"/>
    <d v="2022-10-31T00:00:00"/>
    <x v="0"/>
    <x v="5"/>
    <x v="0"/>
    <n v="2903.23"/>
    <x v="38"/>
    <n v="3"/>
    <d v="2023-10-31T00:00:00"/>
  </r>
  <r>
    <x v="105"/>
    <s v="ROBERT"/>
    <s v="Antoinette"/>
    <x v="0"/>
    <d v="1977-12-17T00:00:00"/>
    <d v="2023-11-22T00:00:00"/>
    <x v="1"/>
    <x v="3"/>
    <x v="1"/>
    <n v="3242.43"/>
    <x v="7"/>
    <n v="2"/>
    <d v="2024-11-22T00:00:00"/>
  </r>
  <r>
    <x v="106"/>
    <s v="BRUNEAU"/>
    <s v="Matthieu"/>
    <x v="0"/>
    <d v="1973-07-10T00:00:00"/>
    <d v="2019-07-02T00:00:00"/>
    <x v="1"/>
    <x v="3"/>
    <x v="1"/>
    <n v="4131.71"/>
    <x v="13"/>
    <n v="6"/>
    <d v="2020-07-02T00:00:00"/>
  </r>
  <r>
    <x v="107"/>
    <s v="LEFEBVRE"/>
    <s v="Martine"/>
    <x v="1"/>
    <d v="1984-11-18T00:00:00"/>
    <d v="2016-01-05T00:00:00"/>
    <x v="2"/>
    <x v="4"/>
    <x v="1"/>
    <n v="3104.75"/>
    <x v="19"/>
    <n v="10"/>
    <d v="2017-01-05T00:00:00"/>
  </r>
  <r>
    <x v="108"/>
    <s v="GEORGES"/>
    <s v="Nicolas"/>
    <x v="0"/>
    <d v="1969-05-05T00:00:00"/>
    <d v="2018-10-03T00:00:00"/>
    <x v="1"/>
    <x v="5"/>
    <x v="1"/>
    <n v="3154.53"/>
    <x v="30"/>
    <n v="7"/>
    <d v="2019-10-03T00:00:00"/>
  </r>
  <r>
    <x v="109"/>
    <s v="DANIEL"/>
    <s v="Susanne"/>
    <x v="1"/>
    <d v="1984-10-28T00:00:00"/>
    <d v="2017-08-09T00:00:00"/>
    <x v="1"/>
    <x v="2"/>
    <x v="1"/>
    <n v="2955.33"/>
    <x v="19"/>
    <n v="8"/>
    <d v="2018-08-09T00:00:00"/>
  </r>
  <r>
    <x v="110"/>
    <s v="LEDUC"/>
    <s v="Olivier"/>
    <x v="1"/>
    <d v="1992-05-19T00:00:00"/>
    <d v="2019-12-30T00:00:00"/>
    <x v="2"/>
    <x v="4"/>
    <x v="1"/>
    <n v="1848.74"/>
    <x v="34"/>
    <n v="6"/>
    <d v="2020-12-30T00:00:00"/>
  </r>
  <r>
    <x v="111"/>
    <s v="FERRAND"/>
    <s v="Agnès"/>
    <x v="0"/>
    <d v="1997-12-27T00:00:00"/>
    <d v="2020-09-02T00:00:00"/>
    <x v="1"/>
    <x v="1"/>
    <x v="1"/>
    <n v="2984.09"/>
    <x v="38"/>
    <n v="5"/>
    <d v="2021-09-02T00:00:00"/>
  </r>
  <r>
    <x v="112"/>
    <s v="ROY"/>
    <s v="Adélaïde"/>
    <x v="1"/>
    <d v="1997-11-26T00:00:00"/>
    <d v="2020-08-09T00:00:00"/>
    <x v="2"/>
    <x v="4"/>
    <x v="0"/>
    <n v="3036.14"/>
    <x v="38"/>
    <n v="5"/>
    <d v="2021-08-09T00:00:00"/>
  </r>
  <r>
    <x v="113"/>
    <s v="BENOIT"/>
    <s v="Juliette"/>
    <x v="0"/>
    <d v="1964-12-26T00:00:00"/>
    <d v="2019-08-17T00:00:00"/>
    <x v="1"/>
    <x v="2"/>
    <x v="1"/>
    <n v="4477.95"/>
    <x v="5"/>
    <n v="6"/>
    <d v="2020-08-17T00:00:00"/>
  </r>
  <r>
    <x v="114"/>
    <s v="LÉGER"/>
    <s v="Céline"/>
    <x v="1"/>
    <d v="1965-02-11T00:00:00"/>
    <d v="2020-05-10T00:00:00"/>
    <x v="0"/>
    <x v="1"/>
    <x v="1"/>
    <n v="2884.58"/>
    <x v="5"/>
    <n v="6"/>
    <d v="2021-05-10T00:00:00"/>
  </r>
  <r>
    <x v="115"/>
    <s v="BERTRAND"/>
    <s v="Lucie"/>
    <x v="0"/>
    <d v="1965-08-10T00:00:00"/>
    <d v="2018-07-05T00:00:00"/>
    <x v="2"/>
    <x v="1"/>
    <x v="1"/>
    <n v="3180.93"/>
    <x v="15"/>
    <n v="7"/>
    <d v="2019-07-05T00:00:00"/>
  </r>
  <r>
    <x v="116"/>
    <s v="LECOMTE"/>
    <s v="Patricia"/>
    <x v="1"/>
    <d v="1979-01-08T00:00:00"/>
    <d v="2024-06-28T00:00:00"/>
    <x v="2"/>
    <x v="2"/>
    <x v="0"/>
    <n v="2979.17"/>
    <x v="39"/>
    <n v="1"/>
    <d v="2025-06-28T00:00:00"/>
  </r>
  <r>
    <x v="117"/>
    <s v="POTTIER"/>
    <s v="Robert"/>
    <x v="1"/>
    <d v="1989-03-22T00:00:00"/>
    <d v="2022-06-09T00:00:00"/>
    <x v="2"/>
    <x v="3"/>
    <x v="0"/>
    <n v="2298.79"/>
    <x v="25"/>
    <n v="3"/>
    <d v="2023-06-09T00:00:00"/>
  </r>
  <r>
    <x v="118"/>
    <s v="SIMON"/>
    <s v="Marc"/>
    <x v="0"/>
    <d v="1977-02-08T00:00:00"/>
    <d v="2021-06-30T00:00:00"/>
    <x v="2"/>
    <x v="3"/>
    <x v="1"/>
    <n v="3685.69"/>
    <x v="23"/>
    <n v="4"/>
    <d v="2022-06-30T00:00:00"/>
  </r>
  <r>
    <x v="119"/>
    <s v="DANIEL"/>
    <s v="René"/>
    <x v="0"/>
    <d v="1976-03-01T00:00:00"/>
    <d v="2023-03-26T00:00:00"/>
    <x v="2"/>
    <x v="4"/>
    <x v="0"/>
    <n v="3451.16"/>
    <x v="20"/>
    <n v="3"/>
    <d v="2024-03-26T00:00:00"/>
  </r>
  <r>
    <x v="120"/>
    <s v="GERMAIN"/>
    <s v="Suzanne"/>
    <x v="1"/>
    <d v="1972-06-03T00:00:00"/>
    <d v="2015-09-22T00:00:00"/>
    <x v="1"/>
    <x v="5"/>
    <x v="1"/>
    <n v="3474.62"/>
    <x v="29"/>
    <n v="10"/>
    <d v="2016-09-22T00:00:00"/>
  </r>
  <r>
    <x v="121"/>
    <s v="LEDOUX"/>
    <s v="Benjamin"/>
    <x v="1"/>
    <d v="1965-10-18T00:00:00"/>
    <d v="2020-12-06T00:00:00"/>
    <x v="0"/>
    <x v="4"/>
    <x v="1"/>
    <n v="2454.37"/>
    <x v="15"/>
    <n v="5"/>
    <d v="2021-12-06T00:00:00"/>
  </r>
  <r>
    <x v="122"/>
    <s v="DUPRÉ"/>
    <s v="Philippine"/>
    <x v="0"/>
    <d v="1963-02-03T00:00:00"/>
    <d v="2019-10-26T00:00:00"/>
    <x v="0"/>
    <x v="4"/>
    <x v="1"/>
    <n v="3841.68"/>
    <x v="18"/>
    <n v="6"/>
    <d v="2020-10-26T00:00:00"/>
  </r>
  <r>
    <x v="123"/>
    <s v="RÉMY"/>
    <s v="Yves"/>
    <x v="0"/>
    <d v="1975-10-14T00:00:00"/>
    <d v="2020-04-09T00:00:00"/>
    <x v="0"/>
    <x v="1"/>
    <x v="2"/>
    <n v="2158.89"/>
    <x v="20"/>
    <n v="6"/>
    <d v="2021-04-09T00:00:00"/>
  </r>
  <r>
    <x v="124"/>
    <s v="IMBERT"/>
    <s v="Anouk"/>
    <x v="1"/>
    <d v="2003-02-08T00:00:00"/>
    <d v="2021-03-30T00:00:00"/>
    <x v="0"/>
    <x v="0"/>
    <x v="1"/>
    <n v="3352.11"/>
    <x v="37"/>
    <n v="5"/>
    <d v="2022-03-30T00:00:00"/>
  </r>
  <r>
    <x v="125"/>
    <s v="PHILIPPE"/>
    <s v="Jacques"/>
    <x v="1"/>
    <d v="1983-06-19T00:00:00"/>
    <d v="2017-04-04T00:00:00"/>
    <x v="0"/>
    <x v="1"/>
    <x v="1"/>
    <n v="4314.2700000000004"/>
    <x v="16"/>
    <n v="9"/>
    <d v="2018-04-04T00:00:00"/>
  </r>
  <r>
    <x v="126"/>
    <s v="BIGOT"/>
    <s v="Martin"/>
    <x v="0"/>
    <d v="1999-03-22T00:00:00"/>
    <d v="2018-10-01T00:00:00"/>
    <x v="2"/>
    <x v="0"/>
    <x v="1"/>
    <n v="2405.6799999999998"/>
    <x v="6"/>
    <n v="7"/>
    <d v="2019-10-01T00:00:00"/>
  </r>
  <r>
    <x v="127"/>
    <s v="BERTHELOT"/>
    <s v="Anne"/>
    <x v="1"/>
    <d v="2004-04-27T00:00:00"/>
    <d v="2024-10-30T00:00:00"/>
    <x v="2"/>
    <x v="2"/>
    <x v="1"/>
    <n v="2660.22"/>
    <x v="9"/>
    <n v="1"/>
    <d v="2025-10-30T00:00:00"/>
  </r>
  <r>
    <x v="128"/>
    <s v="ARNAUD"/>
    <s v="Simone"/>
    <x v="1"/>
    <d v="1997-11-09T00:00:00"/>
    <d v="2018-08-03T00:00:00"/>
    <x v="0"/>
    <x v="3"/>
    <x v="1"/>
    <n v="3059.79"/>
    <x v="38"/>
    <n v="7"/>
    <d v="2019-08-03T00:00:00"/>
  </r>
  <r>
    <x v="129"/>
    <s v="ROCHER"/>
    <s v="Alphonse"/>
    <x v="0"/>
    <d v="1999-04-17T00:00:00"/>
    <d v="2024-03-13T00:00:00"/>
    <x v="2"/>
    <x v="0"/>
    <x v="1"/>
    <n v="2697.91"/>
    <x v="6"/>
    <n v="2"/>
    <d v="2025-03-13T00:00:00"/>
  </r>
  <r>
    <x v="130"/>
    <s v="BERNIER"/>
    <s v="Franck"/>
    <x v="0"/>
    <d v="2001-03-04T00:00:00"/>
    <d v="2023-08-24T00:00:00"/>
    <x v="2"/>
    <x v="0"/>
    <x v="1"/>
    <n v="2069.6"/>
    <x v="35"/>
    <n v="2"/>
    <d v="2024-08-24T00:00:00"/>
  </r>
  <r>
    <x v="131"/>
    <s v="LEFEBVRE"/>
    <s v="Luce"/>
    <x v="0"/>
    <d v="1967-09-28T00:00:00"/>
    <d v="2015-07-28T00:00:00"/>
    <x v="0"/>
    <x v="1"/>
    <x v="0"/>
    <n v="3041.14"/>
    <x v="11"/>
    <n v="10"/>
    <d v="2016-07-28T00:00:00"/>
  </r>
  <r>
    <x v="132"/>
    <s v="DURAND"/>
    <s v="Marguerite"/>
    <x v="0"/>
    <d v="1989-03-13T00:00:00"/>
    <d v="2020-01-01T00:00:00"/>
    <x v="2"/>
    <x v="2"/>
    <x v="2"/>
    <n v="2362.62"/>
    <x v="25"/>
    <n v="6"/>
    <d v="2021-01-01T00:00:00"/>
  </r>
  <r>
    <x v="133"/>
    <s v="TURPIN"/>
    <s v="Amélie"/>
    <x v="1"/>
    <d v="1990-01-18T00:00:00"/>
    <d v="2017-09-09T00:00:00"/>
    <x v="2"/>
    <x v="0"/>
    <x v="0"/>
    <n v="3284.16"/>
    <x v="10"/>
    <n v="8"/>
    <d v="2018-09-09T00:00:00"/>
  </r>
  <r>
    <x v="134"/>
    <s v="LECOQ"/>
    <s v="Nathalie"/>
    <x v="1"/>
    <d v="1984-04-10T00:00:00"/>
    <d v="2017-07-24T00:00:00"/>
    <x v="1"/>
    <x v="5"/>
    <x v="1"/>
    <n v="2448.35"/>
    <x v="16"/>
    <n v="8"/>
    <d v="2018-07-24T00:00:00"/>
  </r>
  <r>
    <x v="135"/>
    <s v="BENOIT"/>
    <s v="Aurore"/>
    <x v="0"/>
    <d v="2002-12-29T00:00:00"/>
    <d v="2023-10-02T00:00:00"/>
    <x v="1"/>
    <x v="2"/>
    <x v="1"/>
    <n v="3929.96"/>
    <x v="37"/>
    <n v="2"/>
    <d v="2024-10-02T00:00:00"/>
  </r>
  <r>
    <x v="136"/>
    <s v="DUBOIS"/>
    <s v="Bertrand"/>
    <x v="1"/>
    <d v="1979-12-05T00:00:00"/>
    <d v="2017-03-25T00:00:00"/>
    <x v="0"/>
    <x v="5"/>
    <x v="1"/>
    <n v="2530.0500000000002"/>
    <x v="32"/>
    <n v="9"/>
    <d v="2018-03-25T00:00:00"/>
  </r>
  <r>
    <x v="137"/>
    <s v="AUBRY"/>
    <s v="Camille"/>
    <x v="1"/>
    <d v="2003-04-04T00:00:00"/>
    <d v="2019-04-27T00:00:00"/>
    <x v="0"/>
    <x v="3"/>
    <x v="1"/>
    <n v="2806.76"/>
    <x v="37"/>
    <n v="7"/>
    <d v="2020-04-27T00:00:00"/>
  </r>
  <r>
    <x v="138"/>
    <s v="BERNIER"/>
    <s v="Céline"/>
    <x v="1"/>
    <d v="2001-01-21T00:00:00"/>
    <d v="2020-11-02T00:00:00"/>
    <x v="2"/>
    <x v="4"/>
    <x v="1"/>
    <n v="3488.11"/>
    <x v="35"/>
    <n v="5"/>
    <d v="2021-11-02T00:00:00"/>
  </r>
  <r>
    <x v="139"/>
    <s v="BRUNEL"/>
    <s v="Augustin"/>
    <x v="1"/>
    <d v="1988-03-22T00:00:00"/>
    <d v="2015-09-09T00:00:00"/>
    <x v="0"/>
    <x v="3"/>
    <x v="0"/>
    <n v="2261.48"/>
    <x v="1"/>
    <n v="10"/>
    <d v="2016-09-09T00:00:00"/>
  </r>
  <r>
    <x v="140"/>
    <s v="PERON"/>
    <s v="Margaret"/>
    <x v="1"/>
    <d v="1992-03-26T00:00:00"/>
    <d v="2020-09-30T00:00:00"/>
    <x v="2"/>
    <x v="0"/>
    <x v="1"/>
    <n v="3136.48"/>
    <x v="34"/>
    <n v="5"/>
    <d v="2021-09-30T00:00:00"/>
  </r>
  <r>
    <x v="141"/>
    <s v="DELMAS"/>
    <s v="Michelle"/>
    <x v="1"/>
    <d v="1994-01-27T00:00:00"/>
    <d v="2023-02-15T00:00:00"/>
    <x v="2"/>
    <x v="2"/>
    <x v="0"/>
    <n v="3784.29"/>
    <x v="2"/>
    <n v="3"/>
    <d v="2024-02-15T00:00:00"/>
  </r>
  <r>
    <x v="142"/>
    <s v="MARIE"/>
    <s v="Frédérique"/>
    <x v="0"/>
    <d v="1976-12-23T00:00:00"/>
    <d v="2016-06-04T00:00:00"/>
    <x v="2"/>
    <x v="5"/>
    <x v="1"/>
    <n v="2035.51"/>
    <x v="23"/>
    <n v="9"/>
    <d v="2017-06-04T00:00:00"/>
  </r>
  <r>
    <x v="143"/>
    <s v="MAURY"/>
    <s v="Éléonore"/>
    <x v="1"/>
    <d v="1995-12-02T00:00:00"/>
    <d v="2021-06-10T00:00:00"/>
    <x v="2"/>
    <x v="1"/>
    <x v="1"/>
    <n v="3110.78"/>
    <x v="40"/>
    <n v="4"/>
    <d v="2022-06-10T00:00:00"/>
  </r>
  <r>
    <x v="144"/>
    <s v="LEFEBVRE"/>
    <s v="Nicole"/>
    <x v="1"/>
    <d v="1999-05-30T00:00:00"/>
    <d v="2021-02-28T00:00:00"/>
    <x v="0"/>
    <x v="4"/>
    <x v="0"/>
    <n v="3155.93"/>
    <x v="41"/>
    <n v="5"/>
    <d v="2022-02-28T00:00:00"/>
  </r>
  <r>
    <x v="145"/>
    <s v="GROS"/>
    <s v="Tristan"/>
    <x v="1"/>
    <d v="1999-08-27T00:00:00"/>
    <d v="2020-11-19T00:00:00"/>
    <x v="1"/>
    <x v="1"/>
    <x v="1"/>
    <n v="3469.09"/>
    <x v="41"/>
    <n v="5"/>
    <d v="2021-11-19T00:00:00"/>
  </r>
  <r>
    <x v="146"/>
    <s v="JACQUES"/>
    <s v="William"/>
    <x v="0"/>
    <d v="1999-03-01T00:00:00"/>
    <d v="2016-03-03T00:00:00"/>
    <x v="1"/>
    <x v="5"/>
    <x v="1"/>
    <n v="2257.83"/>
    <x v="6"/>
    <n v="10"/>
    <d v="2017-03-03T00:00:00"/>
  </r>
  <r>
    <x v="147"/>
    <s v="LEMONNIER"/>
    <s v="Renée"/>
    <x v="0"/>
    <d v="2002-06-20T00:00:00"/>
    <d v="2021-10-27T00:00:00"/>
    <x v="0"/>
    <x v="3"/>
    <x v="2"/>
    <n v="2207.73"/>
    <x v="37"/>
    <n v="4"/>
    <d v="2022-10-27T00:00:00"/>
  </r>
  <r>
    <x v="148"/>
    <s v="DIAS"/>
    <s v="Auguste"/>
    <x v="0"/>
    <d v="2002-08-15T00:00:00"/>
    <d v="2020-02-18T00:00:00"/>
    <x v="1"/>
    <x v="3"/>
    <x v="0"/>
    <n v="3313.16"/>
    <x v="37"/>
    <n v="6"/>
    <d v="2021-02-18T00:00:00"/>
  </r>
  <r>
    <x v="149"/>
    <s v="ARNAUD"/>
    <s v="Alex"/>
    <x v="1"/>
    <d v="1970-04-26T00:00:00"/>
    <d v="2019-01-13T00:00:00"/>
    <x v="0"/>
    <x v="0"/>
    <x v="1"/>
    <n v="3178.19"/>
    <x v="0"/>
    <n v="7"/>
    <d v="2020-01-13T00:00:00"/>
  </r>
  <r>
    <x v="150"/>
    <s v="VINCENT"/>
    <s v="Élisabeth"/>
    <x v="1"/>
    <d v="1971-03-16T00:00:00"/>
    <d v="2021-12-16T00:00:00"/>
    <x v="2"/>
    <x v="5"/>
    <x v="0"/>
    <n v="3150.3"/>
    <x v="28"/>
    <n v="4"/>
    <d v="2022-12-16T00:00:00"/>
  </r>
  <r>
    <x v="151"/>
    <s v="SCHMITT"/>
    <s v="Anaïs"/>
    <x v="1"/>
    <d v="1966-12-28T00:00:00"/>
    <d v="2019-05-07T00:00:00"/>
    <x v="0"/>
    <x v="0"/>
    <x v="1"/>
    <n v="3207.87"/>
    <x v="31"/>
    <n v="7"/>
    <d v="2020-05-07T00:00:00"/>
  </r>
  <r>
    <x v="152"/>
    <s v="LECLERCQ"/>
    <s v="Théodore"/>
    <x v="1"/>
    <d v="1966-07-06T00:00:00"/>
    <d v="2023-02-22T00:00:00"/>
    <x v="0"/>
    <x v="1"/>
    <x v="2"/>
    <n v="2591.9899999999998"/>
    <x v="31"/>
    <n v="3"/>
    <d v="2024-02-22T00:00:00"/>
  </r>
  <r>
    <x v="153"/>
    <s v="MARTIN"/>
    <s v="Marine"/>
    <x v="1"/>
    <d v="1963-02-27T00:00:00"/>
    <d v="2022-02-25T00:00:00"/>
    <x v="1"/>
    <x v="1"/>
    <x v="0"/>
    <n v="3139.35"/>
    <x v="18"/>
    <n v="4"/>
    <d v="2023-02-25T00:00:00"/>
  </r>
  <r>
    <x v="154"/>
    <s v="MUNOZ"/>
    <s v="Renée"/>
    <x v="1"/>
    <d v="1979-04-24T00:00:00"/>
    <d v="2020-04-15T00:00:00"/>
    <x v="1"/>
    <x v="0"/>
    <x v="1"/>
    <n v="3175.84"/>
    <x v="39"/>
    <n v="6"/>
    <d v="2021-04-15T00:00:00"/>
  </r>
  <r>
    <x v="155"/>
    <s v="LEROUX"/>
    <s v="Sébastien"/>
    <x v="0"/>
    <d v="1977-06-22T00:00:00"/>
    <d v="2016-06-05T00:00:00"/>
    <x v="2"/>
    <x v="5"/>
    <x v="1"/>
    <n v="2571.39"/>
    <x v="7"/>
    <n v="9"/>
    <d v="2017-06-05T00:00:00"/>
  </r>
  <r>
    <x v="156"/>
    <s v="ARNAUD"/>
    <s v="Marine"/>
    <x v="0"/>
    <d v="1968-03-05T00:00:00"/>
    <d v="2023-03-14T00:00:00"/>
    <x v="1"/>
    <x v="0"/>
    <x v="1"/>
    <n v="4119.46"/>
    <x v="11"/>
    <n v="3"/>
    <d v="2024-03-14T00:00:00"/>
  </r>
  <r>
    <x v="157"/>
    <s v="LEROUX"/>
    <s v="Matthieu"/>
    <x v="0"/>
    <d v="1989-12-07T00:00:00"/>
    <d v="2016-04-02T00:00:00"/>
    <x v="1"/>
    <x v="5"/>
    <x v="1"/>
    <n v="3284.3"/>
    <x v="10"/>
    <n v="10"/>
    <d v="2017-04-02T00:00:00"/>
  </r>
  <r>
    <x v="158"/>
    <s v="MEUNIER"/>
    <s v="Louis"/>
    <x v="1"/>
    <d v="1977-04-16T00:00:00"/>
    <d v="2023-08-07T00:00:00"/>
    <x v="2"/>
    <x v="1"/>
    <x v="1"/>
    <n v="2285.2199999999998"/>
    <x v="23"/>
    <n v="2"/>
    <d v="2024-08-07T00:00:00"/>
  </r>
  <r>
    <x v="159"/>
    <s v="LANGLOIS"/>
    <s v="Louis"/>
    <x v="1"/>
    <d v="2000-04-30T00:00:00"/>
    <d v="2016-12-13T00:00:00"/>
    <x v="0"/>
    <x v="0"/>
    <x v="2"/>
    <n v="3393.93"/>
    <x v="41"/>
    <n v="9"/>
    <d v="2017-12-13T00:00:00"/>
  </r>
  <r>
    <x v="160"/>
    <s v="THIBAULT"/>
    <s v="Anne"/>
    <x v="1"/>
    <d v="1998-12-01T00:00:00"/>
    <d v="2016-05-30T00:00:00"/>
    <x v="2"/>
    <x v="5"/>
    <x v="0"/>
    <n v="2415.19"/>
    <x v="6"/>
    <n v="9"/>
    <d v="2017-05-30T00:00:00"/>
  </r>
  <r>
    <x v="161"/>
    <s v="PICHON"/>
    <s v="Lorraine"/>
    <x v="1"/>
    <d v="1971-02-27T00:00:00"/>
    <d v="2025-01-11T00:00:00"/>
    <x v="2"/>
    <x v="4"/>
    <x v="1"/>
    <n v="3472.25"/>
    <x v="28"/>
    <n v="1"/>
    <d v="2026-01-11T00:00:00"/>
  </r>
  <r>
    <x v="162"/>
    <s v="POTIER"/>
    <s v="Alain"/>
    <x v="0"/>
    <d v="1974-02-24T00:00:00"/>
    <d v="2021-04-11T00:00:00"/>
    <x v="1"/>
    <x v="0"/>
    <x v="1"/>
    <n v="3695.16"/>
    <x v="13"/>
    <n v="5"/>
    <d v="2022-04-11T00:00:00"/>
  </r>
  <r>
    <x v="163"/>
    <s v="LEFEBVRE"/>
    <s v="Patrick"/>
    <x v="1"/>
    <d v="1975-01-01T00:00:00"/>
    <d v="2024-09-29T00:00:00"/>
    <x v="0"/>
    <x v="2"/>
    <x v="1"/>
    <n v="2507.59"/>
    <x v="17"/>
    <n v="1"/>
    <d v="2025-09-29T00:00:00"/>
  </r>
  <r>
    <x v="164"/>
    <s v="SANCHEZ"/>
    <s v="Emmanuelle"/>
    <x v="1"/>
    <d v="1982-03-03T00:00:00"/>
    <d v="2021-01-25T00:00:00"/>
    <x v="1"/>
    <x v="2"/>
    <x v="1"/>
    <n v="3578.03"/>
    <x v="24"/>
    <n v="5"/>
    <d v="2022-01-25T00:00:00"/>
  </r>
  <r>
    <x v="165"/>
    <s v="TECHER"/>
    <s v="Agathe"/>
    <x v="0"/>
    <d v="1990-12-23T00:00:00"/>
    <d v="2019-03-04T00:00:00"/>
    <x v="1"/>
    <x v="3"/>
    <x v="0"/>
    <n v="3247.67"/>
    <x v="21"/>
    <n v="7"/>
    <d v="2020-03-04T00:00:00"/>
  </r>
  <r>
    <x v="166"/>
    <s v="CARLIER"/>
    <s v="Bernadette"/>
    <x v="1"/>
    <d v="1979-11-17T00:00:00"/>
    <d v="2018-07-23T00:00:00"/>
    <x v="1"/>
    <x v="3"/>
    <x v="2"/>
    <n v="3493.24"/>
    <x v="32"/>
    <n v="7"/>
    <d v="2019-07-23T00:00:00"/>
  </r>
  <r>
    <x v="167"/>
    <s v="COULON"/>
    <s v="Guillaume"/>
    <x v="0"/>
    <d v="1975-08-30T00:00:00"/>
    <d v="2022-05-22T00:00:00"/>
    <x v="0"/>
    <x v="2"/>
    <x v="1"/>
    <n v="4138.08"/>
    <x v="20"/>
    <n v="4"/>
    <d v="2023-05-22T00:00:00"/>
  </r>
  <r>
    <x v="168"/>
    <s v="DIJOUX"/>
    <s v="Augustin"/>
    <x v="0"/>
    <d v="1971-08-14T00:00:00"/>
    <d v="2018-02-09T00:00:00"/>
    <x v="1"/>
    <x v="1"/>
    <x v="1"/>
    <n v="2852.77"/>
    <x v="22"/>
    <n v="8"/>
    <d v="2019-02-09T00:00:00"/>
  </r>
  <r>
    <x v="169"/>
    <s v="SEGUIN"/>
    <s v="Louis"/>
    <x v="1"/>
    <d v="2000-10-16T00:00:00"/>
    <d v="2017-01-18T00:00:00"/>
    <x v="0"/>
    <x v="0"/>
    <x v="2"/>
    <n v="2547.7600000000002"/>
    <x v="35"/>
    <n v="9"/>
    <d v="2018-01-18T00:00:00"/>
  </r>
  <r>
    <x v="170"/>
    <s v="TOUSSAINT"/>
    <s v="Stéphane"/>
    <x v="0"/>
    <d v="1988-10-31T00:00:00"/>
    <d v="2018-03-25T00:00:00"/>
    <x v="2"/>
    <x v="1"/>
    <x v="0"/>
    <n v="2466.29"/>
    <x v="25"/>
    <n v="8"/>
    <d v="2019-03-25T00:00:00"/>
  </r>
  <r>
    <x v="171"/>
    <s v="MAURICE"/>
    <s v="Nicolas"/>
    <x v="1"/>
    <d v="1988-08-27T00:00:00"/>
    <d v="2023-10-26T00:00:00"/>
    <x v="1"/>
    <x v="1"/>
    <x v="1"/>
    <n v="2510.5100000000002"/>
    <x v="25"/>
    <n v="2"/>
    <d v="2024-10-26T00:00:00"/>
  </r>
  <r>
    <x v="172"/>
    <s v="LANGLOIS"/>
    <s v="Marc"/>
    <x v="0"/>
    <d v="2002-06-16T00:00:00"/>
    <d v="2019-06-23T00:00:00"/>
    <x v="0"/>
    <x v="2"/>
    <x v="1"/>
    <n v="2953.74"/>
    <x v="37"/>
    <n v="6"/>
    <d v="2020-06-23T00:00:00"/>
  </r>
  <r>
    <x v="173"/>
    <s v="JEAN"/>
    <s v="Camille"/>
    <x v="1"/>
    <d v="1987-12-09T00:00:00"/>
    <d v="2015-11-13T00:00:00"/>
    <x v="1"/>
    <x v="4"/>
    <x v="2"/>
    <n v="3204.69"/>
    <x v="1"/>
    <n v="10"/>
    <d v="2016-11-13T00:00:00"/>
  </r>
  <r>
    <x v="174"/>
    <s v="PASQUIER"/>
    <s v="Olivier"/>
    <x v="1"/>
    <d v="1988-05-02T00:00:00"/>
    <d v="2018-05-11T00:00:00"/>
    <x v="0"/>
    <x v="4"/>
    <x v="0"/>
    <n v="3166.01"/>
    <x v="1"/>
    <n v="8"/>
    <d v="2019-05-11T00:00:00"/>
  </r>
  <r>
    <x v="175"/>
    <s v="VALENTIN"/>
    <s v="François"/>
    <x v="1"/>
    <d v="1985-12-31T00:00:00"/>
    <d v="2020-10-20T00:00:00"/>
    <x v="0"/>
    <x v="2"/>
    <x v="1"/>
    <n v="3496.31"/>
    <x v="14"/>
    <n v="5"/>
    <d v="2021-10-20T00:00:00"/>
  </r>
  <r>
    <x v="176"/>
    <s v="BECKER"/>
    <s v="Geneviève"/>
    <x v="1"/>
    <d v="2001-08-24T00:00:00"/>
    <d v="2020-06-28T00:00:00"/>
    <x v="2"/>
    <x v="5"/>
    <x v="1"/>
    <n v="3007.8"/>
    <x v="27"/>
    <n v="5"/>
    <d v="2021-06-28T00:00:00"/>
  </r>
  <r>
    <x v="177"/>
    <s v="DUMONT"/>
    <s v="Alexandria"/>
    <x v="0"/>
    <d v="1983-11-25T00:00:00"/>
    <d v="2023-10-05T00:00:00"/>
    <x v="2"/>
    <x v="3"/>
    <x v="1"/>
    <n v="3872.12"/>
    <x v="16"/>
    <n v="2"/>
    <d v="2024-10-05T00:00:00"/>
  </r>
  <r>
    <x v="178"/>
    <s v="GAUTIER"/>
    <s v="Thibaut"/>
    <x v="1"/>
    <d v="1976-09-28T00:00:00"/>
    <d v="2017-08-08T00:00:00"/>
    <x v="2"/>
    <x v="3"/>
    <x v="1"/>
    <n v="2841.21"/>
    <x v="23"/>
    <n v="8"/>
    <d v="2018-08-08T00:00:00"/>
  </r>
  <r>
    <x v="179"/>
    <s v="BARBE"/>
    <s v="Aimée"/>
    <x v="0"/>
    <d v="1984-04-29T00:00:00"/>
    <d v="2024-01-15T00:00:00"/>
    <x v="2"/>
    <x v="0"/>
    <x v="1"/>
    <n v="4632.1000000000004"/>
    <x v="16"/>
    <n v="2"/>
    <d v="2025-01-15T00:00:00"/>
  </r>
  <r>
    <x v="180"/>
    <s v="CORDIER"/>
    <s v="Simone"/>
    <x v="0"/>
    <d v="1964-09-18T00:00:00"/>
    <d v="2016-02-12T00:00:00"/>
    <x v="0"/>
    <x v="1"/>
    <x v="1"/>
    <n v="3375.4"/>
    <x v="5"/>
    <n v="10"/>
    <d v="2017-02-12T00:00:00"/>
  </r>
  <r>
    <x v="181"/>
    <s v="ROSSI"/>
    <s v="Claudine"/>
    <x v="0"/>
    <d v="2003-05-09T00:00:00"/>
    <d v="2017-01-21T00:00:00"/>
    <x v="2"/>
    <x v="3"/>
    <x v="1"/>
    <n v="2485.71"/>
    <x v="37"/>
    <n v="9"/>
    <d v="2018-01-21T00:00:00"/>
  </r>
  <r>
    <x v="182"/>
    <s v="PASQUIER"/>
    <s v="Bernard"/>
    <x v="0"/>
    <d v="1992-07-30T00:00:00"/>
    <d v="2025-03-15T00:00:00"/>
    <x v="1"/>
    <x v="4"/>
    <x v="2"/>
    <n v="2357.46"/>
    <x v="33"/>
    <n v="1"/>
    <d v="2026-03-15T00:00:00"/>
  </r>
  <r>
    <x v="183"/>
    <s v="OLIVIER"/>
    <s v="Daniel"/>
    <x v="1"/>
    <d v="1995-08-23T00:00:00"/>
    <d v="2021-03-20T00:00:00"/>
    <x v="2"/>
    <x v="5"/>
    <x v="1"/>
    <n v="3289.48"/>
    <x v="40"/>
    <n v="5"/>
    <d v="2022-03-20T00:00:00"/>
  </r>
  <r>
    <x v="184"/>
    <s v="MASSON"/>
    <s v="David"/>
    <x v="1"/>
    <d v="1974-10-14T00:00:00"/>
    <d v="2017-09-04T00:00:00"/>
    <x v="0"/>
    <x v="3"/>
    <x v="1"/>
    <n v="2865.92"/>
    <x v="17"/>
    <n v="8"/>
    <d v="2018-09-04T00:00:00"/>
  </r>
  <r>
    <x v="185"/>
    <s v="LEMONNIER"/>
    <s v="Olivier"/>
    <x v="1"/>
    <d v="1965-12-23T00:00:00"/>
    <d v="2020-07-27T00:00:00"/>
    <x v="2"/>
    <x v="0"/>
    <x v="1"/>
    <n v="3428.4"/>
    <x v="15"/>
    <n v="5"/>
    <d v="2021-07-27T00:00:00"/>
  </r>
  <r>
    <x v="186"/>
    <s v="MERCIER"/>
    <s v="Anne"/>
    <x v="1"/>
    <d v="1966-07-13T00:00:00"/>
    <d v="2017-09-02T00:00:00"/>
    <x v="1"/>
    <x v="2"/>
    <x v="1"/>
    <n v="3283.94"/>
    <x v="31"/>
    <n v="8"/>
    <d v="2018-09-02T00:00:00"/>
  </r>
  <r>
    <x v="187"/>
    <s v="BOURDON"/>
    <s v="Patricia"/>
    <x v="0"/>
    <d v="2001-10-27T00:00:00"/>
    <d v="2016-10-02T00:00:00"/>
    <x v="2"/>
    <x v="2"/>
    <x v="0"/>
    <n v="2956.3"/>
    <x v="27"/>
    <n v="9"/>
    <d v="2017-10-02T00:00:00"/>
  </r>
  <r>
    <x v="188"/>
    <s v="FOUQUET"/>
    <s v="Diane"/>
    <x v="1"/>
    <d v="1997-07-09T00:00:00"/>
    <d v="2016-05-19T00:00:00"/>
    <x v="0"/>
    <x v="4"/>
    <x v="1"/>
    <n v="2491.92"/>
    <x v="38"/>
    <n v="10"/>
    <d v="2017-05-19T00:00:00"/>
  </r>
  <r>
    <x v="189"/>
    <s v="BOUSQUET"/>
    <s v="Alexandria"/>
    <x v="1"/>
    <d v="1999-02-26T00:00:00"/>
    <d v="2017-10-04T00:00:00"/>
    <x v="1"/>
    <x v="4"/>
    <x v="1"/>
    <n v="2091.09"/>
    <x v="6"/>
    <n v="8"/>
    <d v="2018-10-04T00:00:00"/>
  </r>
  <r>
    <x v="190"/>
    <s v="BOUSQUET"/>
    <s v="Timothée"/>
    <x v="1"/>
    <d v="1982-04-21T00:00:00"/>
    <d v="2019-09-11T00:00:00"/>
    <x v="0"/>
    <x v="1"/>
    <x v="1"/>
    <n v="2732.09"/>
    <x v="24"/>
    <n v="6"/>
    <d v="2020-09-11T00:00:00"/>
  </r>
  <r>
    <x v="191"/>
    <s v="BERNARD"/>
    <s v="Adrienne"/>
    <x v="1"/>
    <d v="1983-10-25T00:00:00"/>
    <d v="2020-07-26T00:00:00"/>
    <x v="1"/>
    <x v="0"/>
    <x v="1"/>
    <n v="3513.84"/>
    <x v="16"/>
    <n v="5"/>
    <d v="2021-07-26T00:00:00"/>
  </r>
  <r>
    <x v="192"/>
    <s v="MULLER"/>
    <s v="Jacqueline"/>
    <x v="0"/>
    <d v="1983-01-07T00:00:00"/>
    <d v="2022-12-01T00:00:00"/>
    <x v="0"/>
    <x v="5"/>
    <x v="1"/>
    <n v="3128.46"/>
    <x v="8"/>
    <n v="3"/>
    <d v="2023-12-01T00:00:00"/>
  </r>
  <r>
    <x v="193"/>
    <s v="TEXIER"/>
    <s v="Louis"/>
    <x v="0"/>
    <d v="1964-12-14T00:00:00"/>
    <d v="2016-04-06T00:00:00"/>
    <x v="2"/>
    <x v="2"/>
    <x v="0"/>
    <n v="2252.56"/>
    <x v="5"/>
    <n v="10"/>
    <d v="2017-04-06T00:00:00"/>
  </r>
  <r>
    <x v="194"/>
    <s v="HOAREAU"/>
    <s v="Céline"/>
    <x v="1"/>
    <d v="1976-03-17T00:00:00"/>
    <d v="2023-12-25T00:00:00"/>
    <x v="1"/>
    <x v="0"/>
    <x v="0"/>
    <n v="3103.91"/>
    <x v="20"/>
    <n v="2"/>
    <d v="2024-12-25T00:00:00"/>
  </r>
  <r>
    <x v="195"/>
    <s v="MARTINS"/>
    <s v="Édith"/>
    <x v="0"/>
    <d v="2003-12-13T00:00:00"/>
    <d v="2016-07-06T00:00:00"/>
    <x v="1"/>
    <x v="2"/>
    <x v="1"/>
    <n v="3231.19"/>
    <x v="9"/>
    <n v="9"/>
    <d v="2017-07-06T00:00:00"/>
  </r>
  <r>
    <x v="196"/>
    <s v="BÈGUE"/>
    <s v="Gilbert"/>
    <x v="1"/>
    <d v="1963-03-14T00:00:00"/>
    <d v="2021-05-07T00:00:00"/>
    <x v="1"/>
    <x v="4"/>
    <x v="1"/>
    <n v="2469.69"/>
    <x v="18"/>
    <n v="5"/>
    <d v="2022-05-07T00:00:00"/>
  </r>
  <r>
    <x v="197"/>
    <s v="ADAM"/>
    <s v="Noël"/>
    <x v="1"/>
    <d v="1974-04-13T00:00:00"/>
    <d v="2018-04-30T00:00:00"/>
    <x v="0"/>
    <x v="1"/>
    <x v="1"/>
    <n v="3092.24"/>
    <x v="13"/>
    <n v="8"/>
    <d v="2019-04-30T00:00:00"/>
  </r>
  <r>
    <x v="198"/>
    <s v="MERLE"/>
    <s v="Richard"/>
    <x v="1"/>
    <d v="1975-04-28T00:00:00"/>
    <d v="2023-03-31T00:00:00"/>
    <x v="1"/>
    <x v="3"/>
    <x v="0"/>
    <n v="3034.93"/>
    <x v="17"/>
    <n v="3"/>
    <d v="2024-03-31T00:00:00"/>
  </r>
  <r>
    <x v="199"/>
    <s v="BAUDRY"/>
    <s v="Adrienne"/>
    <x v="0"/>
    <d v="2004-02-24T00:00:00"/>
    <d v="2023-03-31T00:00:00"/>
    <x v="2"/>
    <x v="3"/>
    <x v="1"/>
    <n v="2314.2199999999998"/>
    <x v="9"/>
    <n v="3"/>
    <d v="2024-03-31T00:00:00"/>
  </r>
  <r>
    <x v="200"/>
    <s v="NAVARRO"/>
    <s v="Anne"/>
    <x v="0"/>
    <d v="1988-03-19T00:00:00"/>
    <d v="2022-08-24T00:00:00"/>
    <x v="1"/>
    <x v="0"/>
    <x v="0"/>
    <n v="3214.67"/>
    <x v="1"/>
    <n v="3"/>
    <d v="2023-08-24T00:00:00"/>
  </r>
  <r>
    <x v="201"/>
    <s v="GONCALVES"/>
    <s v="Mathilde"/>
    <x v="0"/>
    <d v="2003-01-04T00:00:00"/>
    <d v="2022-11-16T00:00:00"/>
    <x v="2"/>
    <x v="4"/>
    <x v="0"/>
    <n v="3336.47"/>
    <x v="37"/>
    <n v="3"/>
    <d v="2023-11-16T00:00:00"/>
  </r>
  <r>
    <x v="202"/>
    <s v="BERTIN"/>
    <s v="Georges"/>
    <x v="1"/>
    <d v="1979-01-08T00:00:00"/>
    <d v="2022-04-04T00:00:00"/>
    <x v="2"/>
    <x v="5"/>
    <x v="1"/>
    <n v="3649.83"/>
    <x v="39"/>
    <n v="4"/>
    <d v="2023-04-04T00:00:00"/>
  </r>
  <r>
    <x v="203"/>
    <s v="FOUQUET"/>
    <s v="Gabrielle"/>
    <x v="1"/>
    <d v="1998-09-23T00:00:00"/>
    <d v="2022-06-16T00:00:00"/>
    <x v="0"/>
    <x v="4"/>
    <x v="2"/>
    <n v="3632.28"/>
    <x v="6"/>
    <n v="3"/>
    <d v="2023-06-16T00:00:00"/>
  </r>
  <r>
    <x v="204"/>
    <s v="HERNANDEZ"/>
    <s v="Théodore"/>
    <x v="1"/>
    <d v="1962-07-27T00:00:00"/>
    <d v="2015-10-18T00:00:00"/>
    <x v="2"/>
    <x v="4"/>
    <x v="1"/>
    <n v="2173.4"/>
    <x v="18"/>
    <n v="10"/>
    <d v="2016-10-18T00:00:00"/>
  </r>
  <r>
    <x v="205"/>
    <s v="LEDOUX"/>
    <s v="Robert"/>
    <x v="1"/>
    <d v="1990-10-09T00:00:00"/>
    <d v="2024-04-10T00:00:00"/>
    <x v="1"/>
    <x v="3"/>
    <x v="1"/>
    <n v="2437.3000000000002"/>
    <x v="21"/>
    <n v="2"/>
    <d v="2025-04-10T00:00:00"/>
  </r>
  <r>
    <x v="206"/>
    <s v="BOYER"/>
    <s v="Océane"/>
    <x v="0"/>
    <d v="1963-06-17T00:00:00"/>
    <d v="2020-08-03T00:00:00"/>
    <x v="2"/>
    <x v="3"/>
    <x v="1"/>
    <n v="3309.02"/>
    <x v="36"/>
    <n v="5"/>
    <d v="2021-08-03T00:00:00"/>
  </r>
  <r>
    <x v="207"/>
    <s v="RIOU"/>
    <s v="Denise"/>
    <x v="1"/>
    <d v="1984-05-19T00:00:00"/>
    <d v="2016-06-26T00:00:00"/>
    <x v="1"/>
    <x v="3"/>
    <x v="1"/>
    <n v="3308.27"/>
    <x v="16"/>
    <n v="9"/>
    <d v="2017-06-26T00:00:00"/>
  </r>
  <r>
    <x v="208"/>
    <s v="MARTINS"/>
    <s v="François"/>
    <x v="1"/>
    <d v="1963-04-23T00:00:00"/>
    <d v="2023-05-20T00:00:00"/>
    <x v="2"/>
    <x v="1"/>
    <x v="1"/>
    <n v="3309.03"/>
    <x v="18"/>
    <n v="3"/>
    <d v="2024-05-20T00:00:00"/>
  </r>
  <r>
    <x v="209"/>
    <s v="BLONDEL"/>
    <s v="Isabelle"/>
    <x v="1"/>
    <d v="1972-09-13T00:00:00"/>
    <d v="2021-04-18T00:00:00"/>
    <x v="1"/>
    <x v="0"/>
    <x v="1"/>
    <n v="5311.64"/>
    <x v="29"/>
    <n v="5"/>
    <d v="2022-04-18T00:00:00"/>
  </r>
  <r>
    <x v="210"/>
    <s v="ROUSSEL"/>
    <s v="Raymond"/>
    <x v="0"/>
    <d v="1978-11-29T00:00:00"/>
    <d v="2023-10-15T00:00:00"/>
    <x v="1"/>
    <x v="3"/>
    <x v="0"/>
    <n v="3342.53"/>
    <x v="39"/>
    <n v="2"/>
    <d v="2024-10-15T00:00:00"/>
  </r>
  <r>
    <x v="211"/>
    <s v="LEMAIRE"/>
    <s v="Isaac"/>
    <x v="1"/>
    <d v="2003-12-09T00:00:00"/>
    <d v="2023-10-19T00:00:00"/>
    <x v="0"/>
    <x v="1"/>
    <x v="1"/>
    <n v="3681.34"/>
    <x v="9"/>
    <n v="2"/>
    <d v="2024-10-19T00:00:00"/>
  </r>
  <r>
    <x v="212"/>
    <s v="MOREL"/>
    <s v="Olivie"/>
    <x v="1"/>
    <d v="2000-02-20T00:00:00"/>
    <d v="2023-11-05T00:00:00"/>
    <x v="2"/>
    <x v="1"/>
    <x v="1"/>
    <n v="3572.4"/>
    <x v="41"/>
    <n v="2"/>
    <d v="2024-11-05T00:00:00"/>
  </r>
  <r>
    <x v="213"/>
    <s v="WAGNER"/>
    <s v="Patricia"/>
    <x v="1"/>
    <d v="1987-05-18T00:00:00"/>
    <d v="2017-08-12T00:00:00"/>
    <x v="0"/>
    <x v="1"/>
    <x v="1"/>
    <n v="3390.83"/>
    <x v="12"/>
    <n v="8"/>
    <d v="2018-08-12T00:00:00"/>
  </r>
  <r>
    <x v="214"/>
    <s v="GUÉRIN"/>
    <s v="Marianne"/>
    <x v="1"/>
    <d v="2000-09-25T00:00:00"/>
    <d v="2021-01-20T00:00:00"/>
    <x v="0"/>
    <x v="0"/>
    <x v="0"/>
    <n v="2810.84"/>
    <x v="35"/>
    <n v="5"/>
    <d v="2022-01-20T00:00:00"/>
  </r>
  <r>
    <x v="215"/>
    <s v="DUPRÉ"/>
    <s v="Paulette"/>
    <x v="0"/>
    <d v="1981-07-01T00:00:00"/>
    <d v="2021-12-26T00:00:00"/>
    <x v="0"/>
    <x v="0"/>
    <x v="1"/>
    <n v="3455.38"/>
    <x v="24"/>
    <n v="4"/>
    <d v="2022-12-26T00:00:00"/>
  </r>
  <r>
    <x v="216"/>
    <s v="MICHAUD"/>
    <s v="Alphonse"/>
    <x v="0"/>
    <d v="1982-08-04T00:00:00"/>
    <d v="2018-01-26T00:00:00"/>
    <x v="0"/>
    <x v="1"/>
    <x v="1"/>
    <n v="2536.3000000000002"/>
    <x v="8"/>
    <n v="8"/>
    <d v="2019-01-26T00:00:00"/>
  </r>
  <r>
    <x v="217"/>
    <s v="BERNIER"/>
    <s v="Isabelle"/>
    <x v="1"/>
    <d v="1972-07-16T00:00:00"/>
    <d v="2023-09-22T00:00:00"/>
    <x v="1"/>
    <x v="3"/>
    <x v="1"/>
    <n v="2857.91"/>
    <x v="29"/>
    <n v="2"/>
    <d v="2024-09-22T00:00:00"/>
  </r>
  <r>
    <x v="218"/>
    <s v="LEROUX"/>
    <s v="Sylvie"/>
    <x v="0"/>
    <d v="2000-12-31T00:00:00"/>
    <d v="2021-11-11T00:00:00"/>
    <x v="1"/>
    <x v="2"/>
    <x v="1"/>
    <n v="2708.78"/>
    <x v="35"/>
    <n v="4"/>
    <d v="2022-11-11T00:00:00"/>
  </r>
  <r>
    <x v="219"/>
    <s v="PERRIN"/>
    <s v="Emmanuelle"/>
    <x v="0"/>
    <d v="1965-03-01T00:00:00"/>
    <d v="2023-09-08T00:00:00"/>
    <x v="2"/>
    <x v="2"/>
    <x v="1"/>
    <n v="3049.12"/>
    <x v="5"/>
    <n v="2"/>
    <d v="2024-09-08T00:00:00"/>
  </r>
  <r>
    <x v="220"/>
    <s v="LANGLOIS"/>
    <s v="Thibault"/>
    <x v="0"/>
    <d v="2004-04-14T00:00:00"/>
    <d v="2022-09-20T00:00:00"/>
    <x v="0"/>
    <x v="0"/>
    <x v="1"/>
    <n v="4388.8"/>
    <x v="9"/>
    <n v="3"/>
    <d v="2023-09-20T00:00:00"/>
  </r>
  <r>
    <x v="221"/>
    <s v="FOUCHER"/>
    <s v="Édith"/>
    <x v="1"/>
    <d v="1963-04-27T00:00:00"/>
    <d v="2020-11-26T00:00:00"/>
    <x v="0"/>
    <x v="2"/>
    <x v="1"/>
    <n v="1879.64"/>
    <x v="18"/>
    <n v="5"/>
    <d v="2021-11-26T00:00:00"/>
  </r>
  <r>
    <x v="222"/>
    <s v="CHAUVIN"/>
    <s v="Guillaume"/>
    <x v="1"/>
    <d v="2000-10-08T00:00:00"/>
    <d v="2024-05-05T00:00:00"/>
    <x v="1"/>
    <x v="3"/>
    <x v="1"/>
    <n v="3411.76"/>
    <x v="35"/>
    <n v="2"/>
    <d v="2025-05-05T00:00:00"/>
  </r>
  <r>
    <x v="223"/>
    <s v="HOAREAU"/>
    <s v="Charlotte"/>
    <x v="0"/>
    <d v="1968-11-05T00:00:00"/>
    <d v="2016-09-03T00:00:00"/>
    <x v="2"/>
    <x v="2"/>
    <x v="1"/>
    <n v="2032.37"/>
    <x v="30"/>
    <n v="9"/>
    <d v="2017-09-03T00:00:00"/>
  </r>
  <r>
    <x v="224"/>
    <s v="SIMON"/>
    <s v="Susanne"/>
    <x v="1"/>
    <d v="1974-01-12T00:00:00"/>
    <d v="2017-06-25T00:00:00"/>
    <x v="2"/>
    <x v="2"/>
    <x v="1"/>
    <n v="2716.84"/>
    <x v="13"/>
    <n v="8"/>
    <d v="2018-06-25T00:00:00"/>
  </r>
  <r>
    <x v="225"/>
    <s v="MICHEL"/>
    <s v="Henriette"/>
    <x v="1"/>
    <d v="1991-01-30T00:00:00"/>
    <d v="2020-03-23T00:00:00"/>
    <x v="2"/>
    <x v="2"/>
    <x v="0"/>
    <n v="3653.37"/>
    <x v="21"/>
    <n v="6"/>
    <d v="2021-03-23T00:00:00"/>
  </r>
  <r>
    <x v="226"/>
    <s v="COSTE"/>
    <s v="François"/>
    <x v="0"/>
    <d v="1981-12-11T00:00:00"/>
    <d v="2024-07-01T00:00:00"/>
    <x v="2"/>
    <x v="2"/>
    <x v="1"/>
    <n v="3038.57"/>
    <x v="24"/>
    <n v="1"/>
    <d v="2025-07-01T00:00:00"/>
  </r>
  <r>
    <x v="227"/>
    <s v="BOULANGER"/>
    <s v="Thérèse"/>
    <x v="1"/>
    <d v="2003-12-06T00:00:00"/>
    <d v="2017-04-22T00:00:00"/>
    <x v="1"/>
    <x v="3"/>
    <x v="1"/>
    <n v="2353.35"/>
    <x v="9"/>
    <n v="9"/>
    <d v="2018-04-22T00:00:00"/>
  </r>
  <r>
    <x v="228"/>
    <s v="BARRE"/>
    <s v="Rémy"/>
    <x v="0"/>
    <d v="1980-07-19T00:00:00"/>
    <d v="2023-11-07T00:00:00"/>
    <x v="0"/>
    <x v="0"/>
    <x v="1"/>
    <n v="2570.8200000000002"/>
    <x v="4"/>
    <n v="2"/>
    <d v="2024-11-07T00:00:00"/>
  </r>
  <r>
    <x v="229"/>
    <s v="BAZIN"/>
    <s v="Olivier"/>
    <x v="1"/>
    <d v="1971-08-30T00:00:00"/>
    <d v="2017-02-04T00:00:00"/>
    <x v="0"/>
    <x v="5"/>
    <x v="1"/>
    <n v="3407.76"/>
    <x v="22"/>
    <n v="9"/>
    <d v="2018-02-04T00:00:00"/>
  </r>
  <r>
    <x v="230"/>
    <s v="HUET"/>
    <s v="Émile"/>
    <x v="0"/>
    <d v="1965-09-30T00:00:00"/>
    <d v="2019-04-04T00:00:00"/>
    <x v="2"/>
    <x v="5"/>
    <x v="1"/>
    <n v="2561.7800000000002"/>
    <x v="15"/>
    <n v="7"/>
    <d v="2020-04-04T00:00:00"/>
  </r>
  <r>
    <x v="231"/>
    <s v="LEGENDRE"/>
    <s v="Andrée"/>
    <x v="0"/>
    <d v="1982-06-22T00:00:00"/>
    <d v="2024-08-11T00:00:00"/>
    <x v="1"/>
    <x v="2"/>
    <x v="1"/>
    <n v="3129.88"/>
    <x v="8"/>
    <n v="1"/>
    <d v="2025-08-11T00:00:00"/>
  </r>
  <r>
    <x v="232"/>
    <s v="DUFOUR"/>
    <s v="Roland"/>
    <x v="0"/>
    <d v="1981-10-26T00:00:00"/>
    <d v="2020-04-08T00:00:00"/>
    <x v="2"/>
    <x v="2"/>
    <x v="1"/>
    <n v="3027.34"/>
    <x v="24"/>
    <n v="6"/>
    <d v="2021-04-08T00:00:00"/>
  </r>
  <r>
    <x v="233"/>
    <s v="MALLET"/>
    <s v="Auguste"/>
    <x v="0"/>
    <d v="2000-06-29T00:00:00"/>
    <d v="2018-07-09T00:00:00"/>
    <x v="1"/>
    <x v="1"/>
    <x v="1"/>
    <n v="2609.04"/>
    <x v="35"/>
    <n v="7"/>
    <d v="2019-07-09T00:00:00"/>
  </r>
  <r>
    <x v="234"/>
    <s v="HENRY"/>
    <s v="Arthur"/>
    <x v="1"/>
    <d v="2002-10-25T00:00:00"/>
    <d v="2022-02-05T00:00:00"/>
    <x v="0"/>
    <x v="5"/>
    <x v="2"/>
    <n v="4286.37"/>
    <x v="37"/>
    <n v="4"/>
    <d v="2023-02-05T00:00:00"/>
  </r>
  <r>
    <x v="235"/>
    <s v="TURPIN"/>
    <s v="Céline"/>
    <x v="0"/>
    <d v="1996-01-12T00:00:00"/>
    <d v="2020-06-09T00:00:00"/>
    <x v="1"/>
    <x v="0"/>
    <x v="1"/>
    <n v="3380.35"/>
    <x v="40"/>
    <n v="5"/>
    <d v="2021-06-09T00:00:00"/>
  </r>
  <r>
    <x v="236"/>
    <s v="BUISSON"/>
    <s v="Alexandria"/>
    <x v="0"/>
    <d v="1963-03-31T00:00:00"/>
    <d v="2017-07-27T00:00:00"/>
    <x v="0"/>
    <x v="2"/>
    <x v="1"/>
    <n v="1800"/>
    <x v="18"/>
    <n v="8"/>
    <d v="2018-07-27T00:00:00"/>
  </r>
  <r>
    <x v="237"/>
    <s v="PARIS"/>
    <s v="Margaud"/>
    <x v="1"/>
    <d v="1987-02-19T00:00:00"/>
    <d v="2023-02-08T00:00:00"/>
    <x v="1"/>
    <x v="3"/>
    <x v="1"/>
    <n v="3111.87"/>
    <x v="12"/>
    <n v="3"/>
    <d v="2024-02-08T00:00:00"/>
  </r>
  <r>
    <x v="238"/>
    <s v="MAURY"/>
    <s v="Éric"/>
    <x v="1"/>
    <d v="1991-10-22T00:00:00"/>
    <d v="2023-02-01T00:00:00"/>
    <x v="1"/>
    <x v="0"/>
    <x v="2"/>
    <n v="2602.9299999999998"/>
    <x v="34"/>
    <n v="3"/>
    <d v="2024-02-01T00:00:00"/>
  </r>
  <r>
    <x v="239"/>
    <s v="MASSE"/>
    <s v="Michelle"/>
    <x v="0"/>
    <d v="1984-03-02T00:00:00"/>
    <d v="2019-11-02T00:00:00"/>
    <x v="0"/>
    <x v="5"/>
    <x v="1"/>
    <n v="3511.46"/>
    <x v="16"/>
    <n v="6"/>
    <d v="2020-11-02T00:00:00"/>
  </r>
  <r>
    <x v="240"/>
    <s v="GUILLON"/>
    <s v="Guillaume"/>
    <x v="0"/>
    <d v="1995-03-31T00:00:00"/>
    <d v="2024-07-17T00:00:00"/>
    <x v="1"/>
    <x v="0"/>
    <x v="1"/>
    <n v="2524.4899999999998"/>
    <x v="3"/>
    <n v="1"/>
    <d v="2025-07-17T00:00:00"/>
  </r>
  <r>
    <x v="241"/>
    <s v="BESSON"/>
    <s v="Lucas"/>
    <x v="0"/>
    <d v="1975-02-15T00:00:00"/>
    <d v="2016-12-07T00:00:00"/>
    <x v="0"/>
    <x v="4"/>
    <x v="1"/>
    <n v="2931.16"/>
    <x v="17"/>
    <n v="9"/>
    <d v="2017-12-07T00:00:00"/>
  </r>
  <r>
    <x v="242"/>
    <s v="PAYET"/>
    <s v="Victor"/>
    <x v="0"/>
    <d v="1993-10-20T00:00:00"/>
    <d v="2017-12-17T00:00:00"/>
    <x v="2"/>
    <x v="1"/>
    <x v="1"/>
    <n v="3302.99"/>
    <x v="2"/>
    <n v="8"/>
    <d v="2018-12-17T00:00:00"/>
  </r>
  <r>
    <x v="243"/>
    <s v="NAVARRO"/>
    <s v="Bernadette"/>
    <x v="0"/>
    <d v="2003-06-12T00:00:00"/>
    <d v="2022-10-26T00:00:00"/>
    <x v="0"/>
    <x v="0"/>
    <x v="1"/>
    <n v="3519.45"/>
    <x v="9"/>
    <n v="3"/>
    <d v="2023-10-26T00:00:00"/>
  </r>
  <r>
    <x v="244"/>
    <s v="GÉRARD"/>
    <s v="Emmanuel"/>
    <x v="0"/>
    <d v="1966-05-26T00:00:00"/>
    <d v="2024-10-03T00:00:00"/>
    <x v="2"/>
    <x v="0"/>
    <x v="1"/>
    <n v="2279.8200000000002"/>
    <x v="31"/>
    <n v="1"/>
    <d v="2025-10-03T00:00:00"/>
  </r>
  <r>
    <x v="245"/>
    <s v="DELATTRE"/>
    <s v="Laetitia"/>
    <x v="0"/>
    <d v="1988-07-08T00:00:00"/>
    <d v="2023-04-30T00:00:00"/>
    <x v="1"/>
    <x v="1"/>
    <x v="1"/>
    <n v="2799.3"/>
    <x v="25"/>
    <n v="3"/>
    <d v="2024-04-30T00:00:00"/>
  </r>
  <r>
    <x v="246"/>
    <s v="GUILLOT"/>
    <s v="Joséphine"/>
    <x v="1"/>
    <d v="1966-02-05T00:00:00"/>
    <d v="2020-10-17T00:00:00"/>
    <x v="2"/>
    <x v="5"/>
    <x v="2"/>
    <n v="2715.03"/>
    <x v="15"/>
    <n v="5"/>
    <d v="2021-10-17T00:00:00"/>
  </r>
  <r>
    <x v="247"/>
    <s v="DUMAS"/>
    <s v="David"/>
    <x v="0"/>
    <d v="1988-03-31T00:00:00"/>
    <d v="2019-10-30T00:00:00"/>
    <x v="1"/>
    <x v="3"/>
    <x v="1"/>
    <n v="2608"/>
    <x v="1"/>
    <n v="6"/>
    <d v="2020-10-30T00:00:00"/>
  </r>
  <r>
    <x v="248"/>
    <s v="HAMEL"/>
    <s v="Dorothée"/>
    <x v="1"/>
    <d v="1994-04-14T00:00:00"/>
    <d v="2018-09-05T00:00:00"/>
    <x v="1"/>
    <x v="4"/>
    <x v="1"/>
    <n v="4059.27"/>
    <x v="2"/>
    <n v="7"/>
    <d v="2019-09-05T00:00:00"/>
  </r>
  <r>
    <x v="249"/>
    <s v="LOPEZ"/>
    <s v="Adèle"/>
    <x v="1"/>
    <d v="1998-12-31T00:00:00"/>
    <d v="2015-09-01T00:00:00"/>
    <x v="0"/>
    <x v="3"/>
    <x v="1"/>
    <n v="3242.99"/>
    <x v="6"/>
    <n v="10"/>
    <d v="2016-09-0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s v="E0001"/>
    <x v="0"/>
    <x v="0"/>
    <s v="Congés payés"/>
    <n v="9"/>
  </r>
  <r>
    <s v="E0002"/>
    <x v="1"/>
    <x v="1"/>
    <s v="Congés payés"/>
    <n v="3"/>
  </r>
  <r>
    <s v="E0002"/>
    <x v="1"/>
    <x v="2"/>
    <s v="Congés payés"/>
    <n v="7"/>
  </r>
  <r>
    <s v="E0002"/>
    <x v="1"/>
    <x v="2"/>
    <s v="Sans solde"/>
    <n v="1"/>
  </r>
  <r>
    <s v="E0002"/>
    <x v="1"/>
    <x v="3"/>
    <s v="Congés payés"/>
    <n v="2"/>
  </r>
  <r>
    <s v="E0003"/>
    <x v="2"/>
    <x v="4"/>
    <s v="Accident du travail"/>
    <n v="8"/>
  </r>
  <r>
    <s v="E0004"/>
    <x v="2"/>
    <x v="5"/>
    <s v="Maladie"/>
    <n v="1"/>
  </r>
  <r>
    <s v="E0008"/>
    <x v="0"/>
    <x v="6"/>
    <s v="Congés payés"/>
    <n v="3"/>
  </r>
  <r>
    <s v="E0008"/>
    <x v="0"/>
    <x v="7"/>
    <s v="Congés payés"/>
    <n v="8"/>
  </r>
  <r>
    <s v="E0008"/>
    <x v="0"/>
    <x v="4"/>
    <s v="Congés payés"/>
    <n v="5"/>
  </r>
  <r>
    <s v="E0009"/>
    <x v="3"/>
    <x v="0"/>
    <s v="Congés payés"/>
    <n v="2"/>
  </r>
  <r>
    <s v="E0009"/>
    <x v="3"/>
    <x v="8"/>
    <s v="Congés payés"/>
    <n v="8"/>
  </r>
  <r>
    <s v="E0010"/>
    <x v="2"/>
    <x v="6"/>
    <s v="Sans solde"/>
    <n v="1"/>
  </r>
  <r>
    <s v="E0011"/>
    <x v="3"/>
    <x v="0"/>
    <s v="Maladie"/>
    <n v="2"/>
  </r>
  <r>
    <s v="E0011"/>
    <x v="3"/>
    <x v="0"/>
    <s v="Congés payés"/>
    <n v="1"/>
  </r>
  <r>
    <s v="E0012"/>
    <x v="3"/>
    <x v="0"/>
    <s v="Congés payés"/>
    <n v="7"/>
  </r>
  <r>
    <s v="E0012"/>
    <x v="3"/>
    <x v="6"/>
    <s v="RTT"/>
    <n v="1"/>
  </r>
  <r>
    <s v="E0013"/>
    <x v="4"/>
    <x v="2"/>
    <s v="Maladie"/>
    <n v="4"/>
  </r>
  <r>
    <s v="E0013"/>
    <x v="4"/>
    <x v="2"/>
    <s v="Congés payés"/>
    <n v="1"/>
  </r>
  <r>
    <s v="E0015"/>
    <x v="2"/>
    <x v="4"/>
    <s v="RTT"/>
    <n v="1"/>
  </r>
  <r>
    <s v="E0016"/>
    <x v="1"/>
    <x v="9"/>
    <s v="Maladie"/>
    <n v="4"/>
  </r>
  <r>
    <s v="E0016"/>
    <x v="1"/>
    <x v="4"/>
    <s v="Congés payés"/>
    <n v="10"/>
  </r>
  <r>
    <s v="E0016"/>
    <x v="1"/>
    <x v="5"/>
    <s v="Congés payés"/>
    <n v="8"/>
  </r>
  <r>
    <s v="E0017"/>
    <x v="3"/>
    <x v="4"/>
    <s v="Congés payés"/>
    <n v="6"/>
  </r>
  <r>
    <s v="E0017"/>
    <x v="3"/>
    <x v="8"/>
    <s v="Congés payés"/>
    <n v="5"/>
  </r>
  <r>
    <s v="E0018"/>
    <x v="2"/>
    <x v="2"/>
    <s v="Congés payés"/>
    <n v="6"/>
  </r>
  <r>
    <s v="E0018"/>
    <x v="2"/>
    <x v="2"/>
    <s v="Congés payés"/>
    <n v="8"/>
  </r>
  <r>
    <s v="E0018"/>
    <x v="2"/>
    <x v="9"/>
    <s v="Congés payés"/>
    <n v="6"/>
  </r>
  <r>
    <s v="E0018"/>
    <x v="2"/>
    <x v="7"/>
    <s v="RTT"/>
    <n v="1"/>
  </r>
  <r>
    <s v="E0023"/>
    <x v="4"/>
    <x v="5"/>
    <s v="Congés payés"/>
    <n v="10"/>
  </r>
  <r>
    <s v="E0024"/>
    <x v="0"/>
    <x v="2"/>
    <s v="Congés payés"/>
    <n v="8"/>
  </r>
  <r>
    <s v="E0024"/>
    <x v="0"/>
    <x v="1"/>
    <s v="Congés payés"/>
    <n v="6"/>
  </r>
  <r>
    <s v="E0025"/>
    <x v="5"/>
    <x v="8"/>
    <s v="Accident du travail"/>
    <n v="3"/>
  </r>
  <r>
    <s v="E0025"/>
    <x v="5"/>
    <x v="9"/>
    <s v="Maladie"/>
    <n v="5"/>
  </r>
  <r>
    <s v="E0026"/>
    <x v="5"/>
    <x v="4"/>
    <s v="Maladie"/>
    <n v="4"/>
  </r>
  <r>
    <s v="E0026"/>
    <x v="5"/>
    <x v="3"/>
    <s v="Congés payés"/>
    <n v="8"/>
  </r>
  <r>
    <s v="E0026"/>
    <x v="5"/>
    <x v="10"/>
    <s v="Congés payés"/>
    <n v="6"/>
  </r>
  <r>
    <s v="E0026"/>
    <x v="5"/>
    <x v="10"/>
    <s v="Maladie"/>
    <n v="1"/>
  </r>
  <r>
    <s v="E0026"/>
    <x v="5"/>
    <x v="2"/>
    <s v="Accident du travail"/>
    <n v="4"/>
  </r>
  <r>
    <s v="E0028"/>
    <x v="4"/>
    <x v="11"/>
    <s v="Congés payés"/>
    <n v="3"/>
  </r>
  <r>
    <s v="E0028"/>
    <x v="4"/>
    <x v="5"/>
    <s v="Congés payés"/>
    <n v="7"/>
  </r>
  <r>
    <s v="E0028"/>
    <x v="4"/>
    <x v="10"/>
    <s v="Congés payés"/>
    <n v="4"/>
  </r>
  <r>
    <s v="E0028"/>
    <x v="4"/>
    <x v="3"/>
    <s v="Congés payés"/>
    <n v="1"/>
  </r>
  <r>
    <s v="E0029"/>
    <x v="2"/>
    <x v="10"/>
    <s v="Maladie"/>
    <n v="5"/>
  </r>
  <r>
    <s v="E0029"/>
    <x v="2"/>
    <x v="0"/>
    <s v="Congés payés"/>
    <n v="2"/>
  </r>
  <r>
    <s v="E0029"/>
    <x v="2"/>
    <x v="7"/>
    <s v="Congés payés"/>
    <n v="1"/>
  </r>
  <r>
    <s v="E0030"/>
    <x v="2"/>
    <x v="10"/>
    <s v="Congés payés"/>
    <n v="10"/>
  </r>
  <r>
    <s v="E0030"/>
    <x v="2"/>
    <x v="1"/>
    <s v="Congés payés"/>
    <n v="8"/>
  </r>
  <r>
    <s v="E0030"/>
    <x v="2"/>
    <x v="9"/>
    <s v="Sans solde"/>
    <n v="1"/>
  </r>
  <r>
    <s v="E0031"/>
    <x v="0"/>
    <x v="10"/>
    <s v="Congés payés"/>
    <n v="1"/>
  </r>
  <r>
    <s v="E0031"/>
    <x v="0"/>
    <x v="3"/>
    <s v="Congés payés"/>
    <n v="1"/>
  </r>
  <r>
    <s v="E0031"/>
    <x v="0"/>
    <x v="5"/>
    <s v="Congés payés"/>
    <n v="10"/>
  </r>
  <r>
    <s v="E0032"/>
    <x v="1"/>
    <x v="6"/>
    <s v="Congés payés"/>
    <n v="2"/>
  </r>
  <r>
    <s v="E0032"/>
    <x v="1"/>
    <x v="2"/>
    <s v="RTT"/>
    <n v="2"/>
  </r>
  <r>
    <s v="E0033"/>
    <x v="3"/>
    <x v="11"/>
    <s v="Congés payés"/>
    <n v="3"/>
  </r>
  <r>
    <s v="E0034"/>
    <x v="3"/>
    <x v="11"/>
    <s v="Maladie"/>
    <n v="3"/>
  </r>
  <r>
    <s v="E0034"/>
    <x v="3"/>
    <x v="7"/>
    <s v="Congés payés"/>
    <n v="5"/>
  </r>
  <r>
    <s v="E0034"/>
    <x v="3"/>
    <x v="11"/>
    <s v="RTT"/>
    <n v="1"/>
  </r>
  <r>
    <s v="E0035"/>
    <x v="4"/>
    <x v="9"/>
    <s v="RTT"/>
    <n v="2"/>
  </r>
  <r>
    <s v="E0035"/>
    <x v="4"/>
    <x v="6"/>
    <s v="Maladie"/>
    <n v="5"/>
  </r>
  <r>
    <s v="E0036"/>
    <x v="5"/>
    <x v="10"/>
    <s v="Congés payés"/>
    <n v="6"/>
  </r>
  <r>
    <s v="E0037"/>
    <x v="1"/>
    <x v="1"/>
    <s v="Congés payés"/>
    <n v="2"/>
  </r>
  <r>
    <s v="E0037"/>
    <x v="1"/>
    <x v="1"/>
    <s v="Congés payés"/>
    <n v="4"/>
  </r>
  <r>
    <s v="E0037"/>
    <x v="1"/>
    <x v="1"/>
    <s v="Congés payés"/>
    <n v="8"/>
  </r>
  <r>
    <s v="E0038"/>
    <x v="0"/>
    <x v="9"/>
    <s v="RTT"/>
    <n v="1"/>
  </r>
  <r>
    <s v="E0039"/>
    <x v="3"/>
    <x v="4"/>
    <s v="Congés payés"/>
    <n v="5"/>
  </r>
  <r>
    <s v="E0039"/>
    <x v="3"/>
    <x v="0"/>
    <s v="RTT"/>
    <n v="2"/>
  </r>
  <r>
    <s v="E0040"/>
    <x v="0"/>
    <x v="1"/>
    <s v="Congés payés"/>
    <n v="7"/>
  </r>
  <r>
    <s v="E0042"/>
    <x v="0"/>
    <x v="11"/>
    <s v="Congés payés"/>
    <n v="7"/>
  </r>
  <r>
    <s v="E0042"/>
    <x v="0"/>
    <x v="4"/>
    <s v="Maladie"/>
    <n v="3"/>
  </r>
  <r>
    <s v="E0044"/>
    <x v="1"/>
    <x v="1"/>
    <s v="Congés payés"/>
    <n v="10"/>
  </r>
  <r>
    <s v="E0045"/>
    <x v="5"/>
    <x v="7"/>
    <s v="Congés payés"/>
    <n v="6"/>
  </r>
  <r>
    <s v="E0045"/>
    <x v="5"/>
    <x v="8"/>
    <s v="Congés payés"/>
    <n v="4"/>
  </r>
  <r>
    <s v="E0047"/>
    <x v="0"/>
    <x v="2"/>
    <s v="Maladie"/>
    <n v="3"/>
  </r>
  <r>
    <s v="E0047"/>
    <x v="0"/>
    <x v="7"/>
    <s v="RTT"/>
    <n v="1"/>
  </r>
  <r>
    <s v="E0048"/>
    <x v="2"/>
    <x v="3"/>
    <s v="Maladie"/>
    <n v="2"/>
  </r>
  <r>
    <s v="E0048"/>
    <x v="2"/>
    <x v="0"/>
    <s v="Congés payés"/>
    <n v="2"/>
  </r>
  <r>
    <s v="E0048"/>
    <x v="2"/>
    <x v="3"/>
    <s v="Maladie"/>
    <n v="1"/>
  </r>
  <r>
    <s v="E0048"/>
    <x v="2"/>
    <x v="4"/>
    <s v="Congés payés"/>
    <n v="5"/>
  </r>
  <r>
    <s v="E0050"/>
    <x v="5"/>
    <x v="2"/>
    <s v="RTT"/>
    <n v="1"/>
  </r>
  <r>
    <s v="E0050"/>
    <x v="5"/>
    <x v="7"/>
    <s v="Congés payés"/>
    <n v="1"/>
  </r>
  <r>
    <s v="E0051"/>
    <x v="5"/>
    <x v="2"/>
    <s v="Congés payés"/>
    <n v="9"/>
  </r>
  <r>
    <s v="E0052"/>
    <x v="1"/>
    <x v="1"/>
    <s v="Congés payés"/>
    <n v="2"/>
  </r>
  <r>
    <s v="E0053"/>
    <x v="3"/>
    <x v="8"/>
    <s v="Maladie"/>
    <n v="5"/>
  </r>
  <r>
    <s v="E0056"/>
    <x v="3"/>
    <x v="2"/>
    <s v="Congés payés"/>
    <n v="2"/>
  </r>
  <r>
    <s v="E0056"/>
    <x v="3"/>
    <x v="7"/>
    <s v="Congés payés"/>
    <n v="8"/>
  </r>
  <r>
    <s v="E0056"/>
    <x v="3"/>
    <x v="4"/>
    <s v="Congés payés"/>
    <n v="3"/>
  </r>
  <r>
    <s v="E0056"/>
    <x v="3"/>
    <x v="2"/>
    <s v="Congés payés"/>
    <n v="8"/>
  </r>
  <r>
    <s v="E0057"/>
    <x v="5"/>
    <x v="5"/>
    <s v="RTT"/>
    <n v="2"/>
  </r>
  <r>
    <s v="E0057"/>
    <x v="5"/>
    <x v="3"/>
    <s v="RTT"/>
    <n v="1"/>
  </r>
  <r>
    <s v="E0058"/>
    <x v="0"/>
    <x v="5"/>
    <s v="Congés payés"/>
    <n v="8"/>
  </r>
  <r>
    <s v="E0059"/>
    <x v="0"/>
    <x v="3"/>
    <s v="Maladie"/>
    <n v="5"/>
  </r>
  <r>
    <s v="E0060"/>
    <x v="4"/>
    <x v="4"/>
    <s v="Congés payés"/>
    <n v="6"/>
  </r>
  <r>
    <s v="E0060"/>
    <x v="4"/>
    <x v="5"/>
    <s v="Maladie"/>
    <n v="2"/>
  </r>
  <r>
    <s v="E0060"/>
    <x v="4"/>
    <x v="11"/>
    <s v="Congés payés"/>
    <n v="1"/>
  </r>
  <r>
    <s v="E0061"/>
    <x v="1"/>
    <x v="8"/>
    <s v="Sans solde"/>
    <n v="4"/>
  </r>
  <r>
    <s v="E0061"/>
    <x v="1"/>
    <x v="7"/>
    <s v="Maladie"/>
    <n v="5"/>
  </r>
  <r>
    <s v="E0061"/>
    <x v="1"/>
    <x v="5"/>
    <s v="Maladie"/>
    <n v="1"/>
  </r>
  <r>
    <s v="E0062"/>
    <x v="0"/>
    <x v="0"/>
    <s v="Congés payés"/>
    <n v="6"/>
  </r>
  <r>
    <s v="E0062"/>
    <x v="0"/>
    <x v="5"/>
    <s v="Congés payés"/>
    <n v="8"/>
  </r>
  <r>
    <s v="E0063"/>
    <x v="5"/>
    <x v="10"/>
    <s v="Accident du travail"/>
    <n v="10"/>
  </r>
  <r>
    <s v="E0063"/>
    <x v="5"/>
    <x v="6"/>
    <s v="Congés payés"/>
    <n v="10"/>
  </r>
  <r>
    <s v="E0064"/>
    <x v="2"/>
    <x v="0"/>
    <s v="RTT"/>
    <n v="1"/>
  </r>
  <r>
    <s v="E0064"/>
    <x v="2"/>
    <x v="8"/>
    <s v="Congés payés"/>
    <n v="1"/>
  </r>
  <r>
    <s v="E0064"/>
    <x v="2"/>
    <x v="4"/>
    <s v="Congés payés"/>
    <n v="6"/>
  </r>
  <r>
    <s v="E0065"/>
    <x v="0"/>
    <x v="5"/>
    <s v="Maladie"/>
    <n v="1"/>
  </r>
  <r>
    <s v="E0067"/>
    <x v="2"/>
    <x v="0"/>
    <s v="Sans solde"/>
    <n v="4"/>
  </r>
  <r>
    <s v="E0068"/>
    <x v="2"/>
    <x v="10"/>
    <s v="Congés payés"/>
    <n v="2"/>
  </r>
  <r>
    <s v="E0069"/>
    <x v="1"/>
    <x v="11"/>
    <s v="Maladie"/>
    <n v="2"/>
  </r>
  <r>
    <s v="E0069"/>
    <x v="1"/>
    <x v="10"/>
    <s v="Congés payés"/>
    <n v="3"/>
  </r>
  <r>
    <s v="E0069"/>
    <x v="1"/>
    <x v="10"/>
    <s v="Congés payés"/>
    <n v="1"/>
  </r>
  <r>
    <s v="E0069"/>
    <x v="1"/>
    <x v="11"/>
    <s v="Congés payés"/>
    <n v="3"/>
  </r>
  <r>
    <s v="E0070"/>
    <x v="4"/>
    <x v="2"/>
    <s v="Congés payés"/>
    <n v="6"/>
  </r>
  <r>
    <s v="E0070"/>
    <x v="4"/>
    <x v="5"/>
    <s v="Congés payés"/>
    <n v="3"/>
  </r>
  <r>
    <s v="E0071"/>
    <x v="0"/>
    <x v="1"/>
    <s v="Maladie"/>
    <n v="5"/>
  </r>
  <r>
    <s v="E0071"/>
    <x v="0"/>
    <x v="9"/>
    <s v="Maladie"/>
    <n v="1"/>
  </r>
  <r>
    <s v="E0071"/>
    <x v="0"/>
    <x v="9"/>
    <s v="Congés payés"/>
    <n v="7"/>
  </r>
  <r>
    <s v="E0071"/>
    <x v="0"/>
    <x v="1"/>
    <s v="RTT"/>
    <n v="2"/>
  </r>
  <r>
    <s v="E0071"/>
    <x v="0"/>
    <x v="11"/>
    <s v="RTT"/>
    <n v="2"/>
  </r>
  <r>
    <s v="E0072"/>
    <x v="5"/>
    <x v="1"/>
    <s v="Congés payés"/>
    <n v="5"/>
  </r>
  <r>
    <s v="E0072"/>
    <x v="5"/>
    <x v="9"/>
    <s v="Accident du travail"/>
    <n v="8"/>
  </r>
  <r>
    <s v="E0074"/>
    <x v="4"/>
    <x v="11"/>
    <s v="Congés payés"/>
    <n v="1"/>
  </r>
  <r>
    <s v="E0074"/>
    <x v="4"/>
    <x v="0"/>
    <s v="RTT"/>
    <n v="1"/>
  </r>
  <r>
    <s v="E0074"/>
    <x v="4"/>
    <x v="1"/>
    <s v="Congés payés"/>
    <n v="6"/>
  </r>
  <r>
    <s v="E0075"/>
    <x v="5"/>
    <x v="6"/>
    <s v="Congés payés"/>
    <n v="8"/>
  </r>
  <r>
    <s v="E0075"/>
    <x v="5"/>
    <x v="11"/>
    <s v="Congés payés"/>
    <n v="9"/>
  </r>
  <r>
    <s v="E0076"/>
    <x v="2"/>
    <x v="11"/>
    <s v="Congés payés"/>
    <n v="2"/>
  </r>
  <r>
    <s v="E0076"/>
    <x v="2"/>
    <x v="3"/>
    <s v="Congés payés"/>
    <n v="6"/>
  </r>
  <r>
    <s v="E0076"/>
    <x v="2"/>
    <x v="6"/>
    <s v="Congés payés"/>
    <n v="3"/>
  </r>
  <r>
    <s v="E0077"/>
    <x v="2"/>
    <x v="6"/>
    <s v="RTT"/>
    <n v="2"/>
  </r>
  <r>
    <s v="E0078"/>
    <x v="0"/>
    <x v="6"/>
    <s v="Congés payés"/>
    <n v="5"/>
  </r>
  <r>
    <s v="E0078"/>
    <x v="0"/>
    <x v="0"/>
    <s v="Maladie"/>
    <n v="5"/>
  </r>
  <r>
    <s v="E0078"/>
    <x v="0"/>
    <x v="1"/>
    <s v="Congés payés"/>
    <n v="8"/>
  </r>
  <r>
    <s v="E0078"/>
    <x v="0"/>
    <x v="5"/>
    <s v="Maladie"/>
    <n v="3"/>
  </r>
  <r>
    <s v="E0078"/>
    <x v="0"/>
    <x v="9"/>
    <s v="Congés payés"/>
    <n v="5"/>
  </r>
  <r>
    <s v="E0078"/>
    <x v="0"/>
    <x v="2"/>
    <s v="RTT"/>
    <n v="2"/>
  </r>
  <r>
    <s v="E0078"/>
    <x v="0"/>
    <x v="4"/>
    <s v="Maladie"/>
    <n v="5"/>
  </r>
  <r>
    <s v="E0078"/>
    <x v="0"/>
    <x v="4"/>
    <s v="Maladie"/>
    <n v="1"/>
  </r>
  <r>
    <s v="E0079"/>
    <x v="0"/>
    <x v="1"/>
    <s v="Congés payés"/>
    <n v="4"/>
  </r>
  <r>
    <s v="E0080"/>
    <x v="1"/>
    <x v="2"/>
    <s v="Congés payés"/>
    <n v="1"/>
  </r>
  <r>
    <s v="E0080"/>
    <x v="1"/>
    <x v="11"/>
    <s v="RTT"/>
    <n v="2"/>
  </r>
  <r>
    <s v="E0081"/>
    <x v="4"/>
    <x v="7"/>
    <s v="Congés payés"/>
    <n v="4"/>
  </r>
  <r>
    <s v="E0081"/>
    <x v="4"/>
    <x v="10"/>
    <s v="Congés payés"/>
    <n v="4"/>
  </r>
  <r>
    <s v="E0083"/>
    <x v="2"/>
    <x v="5"/>
    <s v="Congés payés"/>
    <n v="2"/>
  </r>
  <r>
    <s v="E0083"/>
    <x v="2"/>
    <x v="1"/>
    <s v="Congés payés"/>
    <n v="1"/>
  </r>
  <r>
    <s v="E0083"/>
    <x v="2"/>
    <x v="11"/>
    <s v="Congés payés"/>
    <n v="7"/>
  </r>
  <r>
    <s v="E0084"/>
    <x v="1"/>
    <x v="5"/>
    <s v="Congés payés"/>
    <n v="3"/>
  </r>
  <r>
    <s v="E0084"/>
    <x v="1"/>
    <x v="11"/>
    <s v="Sans solde"/>
    <n v="3"/>
  </r>
  <r>
    <s v="E0084"/>
    <x v="1"/>
    <x v="10"/>
    <s v="Congés payés"/>
    <n v="3"/>
  </r>
  <r>
    <s v="E0084"/>
    <x v="1"/>
    <x v="11"/>
    <s v="RTT"/>
    <n v="2"/>
  </r>
  <r>
    <s v="E0087"/>
    <x v="5"/>
    <x v="8"/>
    <s v="Congés payés"/>
    <n v="1"/>
  </r>
  <r>
    <s v="E0087"/>
    <x v="5"/>
    <x v="0"/>
    <s v="RTT"/>
    <n v="2"/>
  </r>
  <r>
    <s v="E0087"/>
    <x v="5"/>
    <x v="1"/>
    <s v="Congés payés"/>
    <n v="3"/>
  </r>
  <r>
    <s v="E0090"/>
    <x v="5"/>
    <x v="7"/>
    <s v="Congés payés"/>
    <n v="6"/>
  </r>
  <r>
    <s v="E0091"/>
    <x v="3"/>
    <x v="11"/>
    <s v="Maladie"/>
    <n v="5"/>
  </r>
  <r>
    <s v="E0092"/>
    <x v="2"/>
    <x v="4"/>
    <s v="Sans solde"/>
    <n v="3"/>
  </r>
  <r>
    <s v="E0092"/>
    <x v="2"/>
    <x v="0"/>
    <s v="Congés payés"/>
    <n v="9"/>
  </r>
  <r>
    <s v="E0093"/>
    <x v="4"/>
    <x v="1"/>
    <s v="Congés payés"/>
    <n v="7"/>
  </r>
  <r>
    <s v="E0093"/>
    <x v="4"/>
    <x v="3"/>
    <s v="Maladie"/>
    <n v="4"/>
  </r>
  <r>
    <s v="E0094"/>
    <x v="3"/>
    <x v="4"/>
    <s v="Congés payés"/>
    <n v="7"/>
  </r>
  <r>
    <s v="E0094"/>
    <x v="3"/>
    <x v="0"/>
    <s v="Congés payés"/>
    <n v="6"/>
  </r>
  <r>
    <s v="E0095"/>
    <x v="1"/>
    <x v="2"/>
    <s v="Maladie"/>
    <n v="1"/>
  </r>
  <r>
    <s v="E0095"/>
    <x v="1"/>
    <x v="4"/>
    <s v="Congés payés"/>
    <n v="2"/>
  </r>
  <r>
    <s v="E0096"/>
    <x v="5"/>
    <x v="0"/>
    <s v="Congés payés"/>
    <n v="9"/>
  </r>
  <r>
    <s v="E0096"/>
    <x v="5"/>
    <x v="11"/>
    <s v="Maladie"/>
    <n v="3"/>
  </r>
  <r>
    <s v="E0097"/>
    <x v="1"/>
    <x v="5"/>
    <s v="Maladie"/>
    <n v="5"/>
  </r>
  <r>
    <s v="E0098"/>
    <x v="5"/>
    <x v="6"/>
    <s v="Congés payés"/>
    <n v="3"/>
  </r>
  <r>
    <s v="E0103"/>
    <x v="3"/>
    <x v="11"/>
    <s v="Congés payés"/>
    <n v="5"/>
  </r>
  <r>
    <s v="E0104"/>
    <x v="1"/>
    <x v="6"/>
    <s v="Congés payés"/>
    <n v="8"/>
  </r>
  <r>
    <s v="E0104"/>
    <x v="1"/>
    <x v="9"/>
    <s v="Congés payés"/>
    <n v="2"/>
  </r>
  <r>
    <s v="E0105"/>
    <x v="3"/>
    <x v="5"/>
    <s v="Congés payés"/>
    <n v="7"/>
  </r>
  <r>
    <s v="E0109"/>
    <x v="3"/>
    <x v="3"/>
    <s v="Maladie"/>
    <n v="5"/>
  </r>
  <r>
    <s v="E0112"/>
    <x v="1"/>
    <x v="4"/>
    <s v="Maladie"/>
    <n v="3"/>
  </r>
  <r>
    <s v="E0113"/>
    <x v="5"/>
    <x v="9"/>
    <s v="Congés payés"/>
    <n v="9"/>
  </r>
  <r>
    <s v="E0114"/>
    <x v="2"/>
    <x v="10"/>
    <s v="RTT"/>
    <n v="2"/>
  </r>
  <r>
    <s v="E0115"/>
    <x v="1"/>
    <x v="2"/>
    <s v="RTT"/>
    <n v="2"/>
  </r>
  <r>
    <s v="E0115"/>
    <x v="1"/>
    <x v="10"/>
    <s v="Congés payés"/>
    <n v="6"/>
  </r>
  <r>
    <s v="E0116"/>
    <x v="1"/>
    <x v="2"/>
    <s v="Congés payés"/>
    <n v="10"/>
  </r>
  <r>
    <s v="E0116"/>
    <x v="1"/>
    <x v="4"/>
    <s v="Congés payés"/>
    <n v="9"/>
  </r>
  <r>
    <s v="E0117"/>
    <x v="2"/>
    <x v="1"/>
    <s v="Congés payés"/>
    <n v="1"/>
  </r>
  <r>
    <s v="E0117"/>
    <x v="2"/>
    <x v="7"/>
    <s v="Congés payés"/>
    <n v="3"/>
  </r>
  <r>
    <s v="E0120"/>
    <x v="5"/>
    <x v="9"/>
    <s v="RTT"/>
    <n v="1"/>
  </r>
  <r>
    <s v="E0121"/>
    <x v="3"/>
    <x v="7"/>
    <s v="Congés payés"/>
    <n v="8"/>
  </r>
  <r>
    <s v="E0121"/>
    <x v="3"/>
    <x v="0"/>
    <s v="Maladie"/>
    <n v="5"/>
  </r>
  <r>
    <s v="E0122"/>
    <x v="5"/>
    <x v="0"/>
    <s v="RTT"/>
    <n v="2"/>
  </r>
  <r>
    <s v="E0123"/>
    <x v="5"/>
    <x v="0"/>
    <s v="Congés payés"/>
    <n v="5"/>
  </r>
  <r>
    <s v="E0124"/>
    <x v="1"/>
    <x v="10"/>
    <s v="RTT"/>
    <n v="2"/>
  </r>
  <r>
    <s v="E0124"/>
    <x v="1"/>
    <x v="4"/>
    <s v="RTT"/>
    <n v="2"/>
  </r>
  <r>
    <s v="E0124"/>
    <x v="1"/>
    <x v="2"/>
    <s v="Congés payés"/>
    <n v="7"/>
  </r>
  <r>
    <s v="E0125"/>
    <x v="0"/>
    <x v="4"/>
    <s v="Congés payés"/>
    <n v="9"/>
  </r>
  <r>
    <s v="E0125"/>
    <x v="0"/>
    <x v="8"/>
    <s v="Congés payés"/>
    <n v="7"/>
  </r>
  <r>
    <s v="E0126"/>
    <x v="1"/>
    <x v="10"/>
    <s v="Congés payés"/>
    <n v="8"/>
  </r>
  <r>
    <s v="E0128"/>
    <x v="2"/>
    <x v="8"/>
    <s v="RTT"/>
    <n v="2"/>
  </r>
  <r>
    <s v="E0129"/>
    <x v="4"/>
    <x v="3"/>
    <s v="Congés payés"/>
    <n v="2"/>
  </r>
  <r>
    <s v="E0130"/>
    <x v="0"/>
    <x v="0"/>
    <s v="Congés payés"/>
    <n v="3"/>
  </r>
  <r>
    <s v="E0130"/>
    <x v="0"/>
    <x v="6"/>
    <s v="Congés payés"/>
    <n v="8"/>
  </r>
  <r>
    <s v="E0130"/>
    <x v="0"/>
    <x v="3"/>
    <s v="Congés payés"/>
    <n v="10"/>
  </r>
  <r>
    <s v="E0130"/>
    <x v="0"/>
    <x v="10"/>
    <s v="RTT"/>
    <n v="1"/>
  </r>
  <r>
    <s v="E0132"/>
    <x v="1"/>
    <x v="2"/>
    <s v="Congés payés"/>
    <n v="6"/>
  </r>
  <r>
    <s v="E0132"/>
    <x v="1"/>
    <x v="6"/>
    <s v="Congés payés"/>
    <n v="1"/>
  </r>
  <r>
    <s v="E0132"/>
    <x v="1"/>
    <x v="0"/>
    <s v="RTT"/>
    <n v="1"/>
  </r>
  <r>
    <s v="E0134"/>
    <x v="0"/>
    <x v="9"/>
    <s v="Congés payés"/>
    <n v="1"/>
  </r>
  <r>
    <s v="E0135"/>
    <x v="3"/>
    <x v="1"/>
    <s v="Congés payés"/>
    <n v="5"/>
  </r>
  <r>
    <s v="E0135"/>
    <x v="3"/>
    <x v="8"/>
    <s v="Congés payés"/>
    <n v="6"/>
  </r>
  <r>
    <s v="E0136"/>
    <x v="2"/>
    <x v="1"/>
    <s v="Congés payés"/>
    <n v="2"/>
  </r>
  <r>
    <s v="E0136"/>
    <x v="2"/>
    <x v="7"/>
    <s v="Congés payés"/>
    <n v="3"/>
  </r>
  <r>
    <s v="E0139"/>
    <x v="5"/>
    <x v="4"/>
    <s v="Congés payés"/>
    <n v="9"/>
  </r>
  <r>
    <s v="E0141"/>
    <x v="0"/>
    <x v="5"/>
    <s v="Congés payés"/>
    <n v="9"/>
  </r>
  <r>
    <s v="E0142"/>
    <x v="2"/>
    <x v="7"/>
    <s v="Congés payés"/>
    <n v="9"/>
  </r>
  <r>
    <s v="E0143"/>
    <x v="3"/>
    <x v="10"/>
    <s v="Congés payés"/>
    <n v="1"/>
  </r>
  <r>
    <s v="E0144"/>
    <x v="1"/>
    <x v="5"/>
    <s v="Congés payés"/>
    <n v="1"/>
  </r>
  <r>
    <s v="E0145"/>
    <x v="5"/>
    <x v="2"/>
    <s v="Maladie"/>
    <n v="5"/>
  </r>
  <r>
    <s v="E0145"/>
    <x v="5"/>
    <x v="9"/>
    <s v="Congés payés"/>
    <n v="4"/>
  </r>
  <r>
    <s v="E0145"/>
    <x v="5"/>
    <x v="3"/>
    <s v="Congés payés"/>
    <n v="6"/>
  </r>
  <r>
    <s v="E0145"/>
    <x v="5"/>
    <x v="1"/>
    <s v="Congés payés"/>
    <n v="3"/>
  </r>
  <r>
    <s v="E0147"/>
    <x v="3"/>
    <x v="10"/>
    <s v="Congés payés"/>
    <n v="8"/>
  </r>
  <r>
    <s v="E0147"/>
    <x v="3"/>
    <x v="0"/>
    <s v="Accident du travail"/>
    <n v="4"/>
  </r>
  <r>
    <s v="E0147"/>
    <x v="3"/>
    <x v="4"/>
    <s v="Maladie"/>
    <n v="1"/>
  </r>
  <r>
    <s v="E0148"/>
    <x v="4"/>
    <x v="6"/>
    <s v="RTT"/>
    <n v="2"/>
  </r>
  <r>
    <s v="E0150"/>
    <x v="0"/>
    <x v="2"/>
    <s v="Congés payés"/>
    <n v="7"/>
  </r>
  <r>
    <s v="E0151"/>
    <x v="3"/>
    <x v="7"/>
    <s v="RTT"/>
    <n v="2"/>
  </r>
  <r>
    <s v="E0153"/>
    <x v="1"/>
    <x v="0"/>
    <s v="Congés payés"/>
    <n v="9"/>
  </r>
  <r>
    <s v="E0154"/>
    <x v="1"/>
    <x v="4"/>
    <s v="Congés payés"/>
    <n v="5"/>
  </r>
  <r>
    <s v="E0155"/>
    <x v="0"/>
    <x v="3"/>
    <s v="Maladie"/>
    <n v="5"/>
  </r>
  <r>
    <s v="E0155"/>
    <x v="0"/>
    <x v="11"/>
    <s v="RTT"/>
    <n v="1"/>
  </r>
  <r>
    <s v="E0156"/>
    <x v="3"/>
    <x v="10"/>
    <s v="Maladie"/>
    <n v="1"/>
  </r>
  <r>
    <s v="E0158"/>
    <x v="3"/>
    <x v="8"/>
    <s v="Congés payés"/>
    <n v="2"/>
  </r>
  <r>
    <s v="E0158"/>
    <x v="3"/>
    <x v="1"/>
    <s v="RTT"/>
    <n v="2"/>
  </r>
  <r>
    <s v="E0158"/>
    <x v="3"/>
    <x v="5"/>
    <s v="Congés payés"/>
    <n v="7"/>
  </r>
  <r>
    <s v="E0159"/>
    <x v="1"/>
    <x v="7"/>
    <s v="Congés payés"/>
    <n v="9"/>
  </r>
  <r>
    <s v="E0159"/>
    <x v="1"/>
    <x v="10"/>
    <s v="Maladie"/>
    <n v="5"/>
  </r>
  <r>
    <s v="E0159"/>
    <x v="1"/>
    <x v="11"/>
    <s v="Accident du travail"/>
    <n v="4"/>
  </r>
  <r>
    <s v="E0160"/>
    <x v="0"/>
    <x v="1"/>
    <s v="Congés payés"/>
    <n v="9"/>
  </r>
  <r>
    <s v="E0161"/>
    <x v="3"/>
    <x v="8"/>
    <s v="Congés payés"/>
    <n v="2"/>
  </r>
  <r>
    <s v="E0161"/>
    <x v="3"/>
    <x v="11"/>
    <s v="Maladie"/>
    <n v="1"/>
  </r>
  <r>
    <s v="E0161"/>
    <x v="3"/>
    <x v="4"/>
    <s v="Congés payés"/>
    <n v="7"/>
  </r>
  <r>
    <s v="E0162"/>
    <x v="5"/>
    <x v="4"/>
    <s v="RTT"/>
    <n v="2"/>
  </r>
  <r>
    <s v="E0162"/>
    <x v="5"/>
    <x v="11"/>
    <s v="RTT"/>
    <n v="2"/>
  </r>
  <r>
    <s v="E0164"/>
    <x v="2"/>
    <x v="10"/>
    <s v="Congés payés"/>
    <n v="4"/>
  </r>
  <r>
    <s v="E0164"/>
    <x v="2"/>
    <x v="10"/>
    <s v="Maladie"/>
    <n v="3"/>
  </r>
  <r>
    <s v="E0164"/>
    <x v="2"/>
    <x v="7"/>
    <s v="Congés payés"/>
    <n v="6"/>
  </r>
  <r>
    <s v="E0165"/>
    <x v="2"/>
    <x v="9"/>
    <s v="Congés payés"/>
    <n v="2"/>
  </r>
  <r>
    <s v="E0168"/>
    <x v="2"/>
    <x v="8"/>
    <s v="Congés payés"/>
    <n v="4"/>
  </r>
  <r>
    <s v="E0168"/>
    <x v="2"/>
    <x v="6"/>
    <s v="Congés payés"/>
    <n v="4"/>
  </r>
  <r>
    <s v="E0168"/>
    <x v="2"/>
    <x v="0"/>
    <s v="Congés payés"/>
    <n v="4"/>
  </r>
  <r>
    <s v="E0169"/>
    <x v="1"/>
    <x v="9"/>
    <s v="RTT"/>
    <n v="2"/>
  </r>
  <r>
    <s v="E0169"/>
    <x v="1"/>
    <x v="1"/>
    <s v="Congés payés"/>
    <n v="9"/>
  </r>
  <r>
    <s v="E0169"/>
    <x v="1"/>
    <x v="1"/>
    <s v="Congés payés"/>
    <n v="10"/>
  </r>
  <r>
    <s v="E0170"/>
    <x v="0"/>
    <x v="9"/>
    <s v="Sans solde"/>
    <n v="3"/>
  </r>
  <r>
    <s v="E0171"/>
    <x v="1"/>
    <x v="2"/>
    <s v="Maladie"/>
    <n v="1"/>
  </r>
  <r>
    <s v="E0171"/>
    <x v="1"/>
    <x v="1"/>
    <s v="Congés payés"/>
    <n v="5"/>
  </r>
  <r>
    <s v="E0172"/>
    <x v="1"/>
    <x v="1"/>
    <s v="Maladie"/>
    <n v="4"/>
  </r>
  <r>
    <s v="E0173"/>
    <x v="2"/>
    <x v="10"/>
    <s v="Congés payés"/>
    <n v="10"/>
  </r>
  <r>
    <s v="E0174"/>
    <x v="5"/>
    <x v="3"/>
    <s v="Congés payés"/>
    <n v="9"/>
  </r>
  <r>
    <s v="E0174"/>
    <x v="5"/>
    <x v="0"/>
    <s v="RTT"/>
    <n v="2"/>
  </r>
  <r>
    <s v="E0175"/>
    <x v="5"/>
    <x v="6"/>
    <s v="RTT"/>
    <n v="1"/>
  </r>
  <r>
    <s v="E0175"/>
    <x v="5"/>
    <x v="1"/>
    <s v="Congés payés"/>
    <n v="2"/>
  </r>
  <r>
    <s v="E0177"/>
    <x v="3"/>
    <x v="4"/>
    <s v="RTT"/>
    <n v="2"/>
  </r>
  <r>
    <s v="E0177"/>
    <x v="3"/>
    <x v="8"/>
    <s v="Maladie"/>
    <n v="4"/>
  </r>
  <r>
    <s v="E0177"/>
    <x v="3"/>
    <x v="4"/>
    <s v="Congés payés"/>
    <n v="6"/>
  </r>
  <r>
    <s v="E0177"/>
    <x v="3"/>
    <x v="11"/>
    <s v="Maladie"/>
    <n v="3"/>
  </r>
  <r>
    <s v="E0179"/>
    <x v="4"/>
    <x v="3"/>
    <s v="Congés payés"/>
    <n v="6"/>
  </r>
  <r>
    <s v="E0180"/>
    <x v="0"/>
    <x v="11"/>
    <s v="Congés payés"/>
    <n v="10"/>
  </r>
  <r>
    <s v="E0181"/>
    <x v="1"/>
    <x v="6"/>
    <s v="Maladie"/>
    <n v="1"/>
  </r>
  <r>
    <s v="E0181"/>
    <x v="1"/>
    <x v="0"/>
    <s v="Congés payés"/>
    <n v="2"/>
  </r>
  <r>
    <s v="E0181"/>
    <x v="1"/>
    <x v="7"/>
    <s v="Congés payés"/>
    <n v="9"/>
  </r>
  <r>
    <s v="E0182"/>
    <x v="4"/>
    <x v="6"/>
    <s v="Congés payés"/>
    <n v="4"/>
  </r>
  <r>
    <s v="E0183"/>
    <x v="5"/>
    <x v="6"/>
    <s v="Maladie"/>
    <n v="1"/>
  </r>
  <r>
    <s v="E0184"/>
    <x v="3"/>
    <x v="4"/>
    <s v="Congés payés"/>
    <n v="7"/>
  </r>
  <r>
    <s v="E0184"/>
    <x v="3"/>
    <x v="9"/>
    <s v="Congés payés"/>
    <n v="4"/>
  </r>
  <r>
    <s v="E0185"/>
    <x v="4"/>
    <x v="9"/>
    <s v="Maladie"/>
    <n v="5"/>
  </r>
  <r>
    <s v="E0186"/>
    <x v="0"/>
    <x v="7"/>
    <s v="Congés payés"/>
    <n v="5"/>
  </r>
  <r>
    <s v="E0186"/>
    <x v="0"/>
    <x v="3"/>
    <s v="Maladie"/>
    <n v="4"/>
  </r>
  <r>
    <s v="E0186"/>
    <x v="0"/>
    <x v="6"/>
    <s v="Congés payés"/>
    <n v="4"/>
  </r>
  <r>
    <s v="E0187"/>
    <x v="2"/>
    <x v="7"/>
    <s v="Maladie"/>
    <n v="3"/>
  </r>
  <r>
    <s v="E0189"/>
    <x v="5"/>
    <x v="1"/>
    <s v="Maladie"/>
    <n v="2"/>
  </r>
  <r>
    <s v="E0189"/>
    <x v="5"/>
    <x v="1"/>
    <s v="Congés payés"/>
    <n v="4"/>
  </r>
  <r>
    <s v="E0190"/>
    <x v="5"/>
    <x v="2"/>
    <s v="RTT"/>
    <n v="2"/>
  </r>
  <r>
    <s v="E0190"/>
    <x v="5"/>
    <x v="10"/>
    <s v="Congés payés"/>
    <n v="9"/>
  </r>
  <r>
    <s v="E0191"/>
    <x v="1"/>
    <x v="2"/>
    <s v="Maladie"/>
    <n v="4"/>
  </r>
  <r>
    <s v="E0191"/>
    <x v="1"/>
    <x v="11"/>
    <s v="Accident du travail"/>
    <n v="9"/>
  </r>
  <r>
    <s v="E0193"/>
    <x v="3"/>
    <x v="5"/>
    <s v="RTT"/>
    <n v="2"/>
  </r>
  <r>
    <s v="E0193"/>
    <x v="3"/>
    <x v="1"/>
    <s v="RTT"/>
    <n v="2"/>
  </r>
  <r>
    <s v="E0193"/>
    <x v="3"/>
    <x v="10"/>
    <s v="Maladie"/>
    <n v="2"/>
  </r>
  <r>
    <s v="E0193"/>
    <x v="3"/>
    <x v="8"/>
    <s v="Maladie"/>
    <n v="3"/>
  </r>
  <r>
    <s v="E0193"/>
    <x v="3"/>
    <x v="9"/>
    <s v="Maladie"/>
    <n v="3"/>
  </r>
  <r>
    <s v="E0195"/>
    <x v="0"/>
    <x v="1"/>
    <s v="Maladie"/>
    <n v="1"/>
  </r>
  <r>
    <s v="E0195"/>
    <x v="0"/>
    <x v="10"/>
    <s v="Congés payés"/>
    <n v="6"/>
  </r>
  <r>
    <s v="E0196"/>
    <x v="2"/>
    <x v="8"/>
    <s v="Congés payés"/>
    <n v="5"/>
  </r>
  <r>
    <s v="E0196"/>
    <x v="2"/>
    <x v="9"/>
    <s v="Congés payés"/>
    <n v="4"/>
  </r>
  <r>
    <s v="E0196"/>
    <x v="2"/>
    <x v="3"/>
    <s v="Accident du travail"/>
    <n v="2"/>
  </r>
  <r>
    <s v="E0196"/>
    <x v="2"/>
    <x v="4"/>
    <s v="Congés payés"/>
    <n v="8"/>
  </r>
  <r>
    <s v="E0197"/>
    <x v="5"/>
    <x v="1"/>
    <s v="Congés payés"/>
    <n v="4"/>
  </r>
  <r>
    <s v="E0197"/>
    <x v="5"/>
    <x v="7"/>
    <s v="Maladie"/>
    <n v="4"/>
  </r>
  <r>
    <s v="E0198"/>
    <x v="1"/>
    <x v="4"/>
    <s v="Maladie"/>
    <n v="3"/>
  </r>
  <r>
    <s v="E0198"/>
    <x v="1"/>
    <x v="4"/>
    <s v="RTT"/>
    <n v="2"/>
  </r>
  <r>
    <s v="E0198"/>
    <x v="1"/>
    <x v="11"/>
    <s v="Congés payés"/>
    <n v="3"/>
  </r>
  <r>
    <s v="E0198"/>
    <x v="1"/>
    <x v="9"/>
    <s v="Congés payés"/>
    <n v="6"/>
  </r>
  <r>
    <s v="E0200"/>
    <x v="4"/>
    <x v="2"/>
    <s v="Congés payés"/>
    <n v="3"/>
  </r>
  <r>
    <s v="E0200"/>
    <x v="4"/>
    <x v="1"/>
    <s v="RTT"/>
    <n v="1"/>
  </r>
  <r>
    <s v="E0201"/>
    <x v="0"/>
    <x v="0"/>
    <s v="Congés payés"/>
    <n v="7"/>
  </r>
  <r>
    <s v="E0202"/>
    <x v="5"/>
    <x v="5"/>
    <s v="RTT"/>
    <n v="2"/>
  </r>
  <r>
    <s v="E0202"/>
    <x v="5"/>
    <x v="9"/>
    <s v="Sans solde"/>
    <n v="1"/>
  </r>
  <r>
    <s v="E0203"/>
    <x v="3"/>
    <x v="8"/>
    <s v="Congés payés"/>
    <n v="5"/>
  </r>
  <r>
    <s v="E0203"/>
    <x v="3"/>
    <x v="5"/>
    <s v="Congés payés"/>
    <n v="1"/>
  </r>
  <r>
    <s v="E0204"/>
    <x v="5"/>
    <x v="11"/>
    <s v="Congés payés"/>
    <n v="7"/>
  </r>
  <r>
    <s v="E0207"/>
    <x v="4"/>
    <x v="2"/>
    <s v="Congés payés"/>
    <n v="7"/>
  </r>
  <r>
    <s v="E0208"/>
    <x v="4"/>
    <x v="5"/>
    <s v="Congés payés"/>
    <n v="4"/>
  </r>
  <r>
    <s v="E0208"/>
    <x v="4"/>
    <x v="11"/>
    <s v="RTT"/>
    <n v="1"/>
  </r>
  <r>
    <s v="E0209"/>
    <x v="1"/>
    <x v="6"/>
    <s v="Maladie"/>
    <n v="2"/>
  </r>
  <r>
    <s v="E0210"/>
    <x v="0"/>
    <x v="3"/>
    <s v="Congés payés"/>
    <n v="10"/>
  </r>
  <r>
    <s v="E0211"/>
    <x v="4"/>
    <x v="3"/>
    <s v="Maladie"/>
    <n v="3"/>
  </r>
  <r>
    <s v="E0212"/>
    <x v="1"/>
    <x v="5"/>
    <s v="Congés payés"/>
    <n v="1"/>
  </r>
  <r>
    <s v="E0213"/>
    <x v="1"/>
    <x v="2"/>
    <s v="RTT"/>
    <n v="1"/>
  </r>
  <r>
    <s v="E0213"/>
    <x v="1"/>
    <x v="11"/>
    <s v="Maladie"/>
    <n v="2"/>
  </r>
  <r>
    <s v="E0213"/>
    <x v="1"/>
    <x v="4"/>
    <s v="Maladie"/>
    <n v="3"/>
  </r>
  <r>
    <s v="E0214"/>
    <x v="1"/>
    <x v="2"/>
    <s v="RTT"/>
    <n v="2"/>
  </r>
  <r>
    <s v="E0215"/>
    <x v="0"/>
    <x v="4"/>
    <s v="Congés payés"/>
    <n v="4"/>
  </r>
  <r>
    <s v="E0218"/>
    <x v="4"/>
    <x v="7"/>
    <s v="Sans solde"/>
    <n v="4"/>
  </r>
  <r>
    <s v="E0218"/>
    <x v="4"/>
    <x v="7"/>
    <s v="Maladie"/>
    <n v="4"/>
  </r>
  <r>
    <s v="E0219"/>
    <x v="2"/>
    <x v="2"/>
    <s v="Congés payés"/>
    <n v="8"/>
  </r>
  <r>
    <s v="E0219"/>
    <x v="2"/>
    <x v="5"/>
    <s v="Maladie"/>
    <n v="2"/>
  </r>
  <r>
    <s v="E0220"/>
    <x v="2"/>
    <x v="11"/>
    <s v="Congés payés"/>
    <n v="2"/>
  </r>
  <r>
    <s v="E0221"/>
    <x v="0"/>
    <x v="10"/>
    <s v="Congés payés"/>
    <n v="9"/>
  </r>
  <r>
    <s v="E0223"/>
    <x v="4"/>
    <x v="7"/>
    <s v="Congés payés"/>
    <n v="2"/>
  </r>
  <r>
    <s v="E0223"/>
    <x v="4"/>
    <x v="6"/>
    <s v="RTT"/>
    <n v="1"/>
  </r>
  <r>
    <s v="E0223"/>
    <x v="4"/>
    <x v="3"/>
    <s v="Congés payés"/>
    <n v="4"/>
  </r>
  <r>
    <s v="E0224"/>
    <x v="2"/>
    <x v="6"/>
    <s v="Congés payés"/>
    <n v="4"/>
  </r>
  <r>
    <s v="E0224"/>
    <x v="2"/>
    <x v="1"/>
    <s v="Congés payés"/>
    <n v="9"/>
  </r>
  <r>
    <s v="E0226"/>
    <x v="2"/>
    <x v="7"/>
    <s v="Maladie"/>
    <n v="2"/>
  </r>
  <r>
    <s v="E0226"/>
    <x v="2"/>
    <x v="8"/>
    <s v="Congés payés"/>
    <n v="9"/>
  </r>
  <r>
    <s v="E0228"/>
    <x v="4"/>
    <x v="1"/>
    <s v="Sans solde"/>
    <n v="5"/>
  </r>
  <r>
    <s v="E0231"/>
    <x v="3"/>
    <x v="1"/>
    <s v="Congés payés"/>
    <n v="9"/>
  </r>
  <r>
    <s v="E0232"/>
    <x v="2"/>
    <x v="2"/>
    <s v="Congés payés"/>
    <n v="3"/>
  </r>
  <r>
    <s v="E0234"/>
    <x v="1"/>
    <x v="8"/>
    <s v="Congés payés"/>
    <n v="6"/>
  </r>
  <r>
    <s v="E0235"/>
    <x v="3"/>
    <x v="6"/>
    <s v="Accident du travail"/>
    <n v="9"/>
  </r>
  <r>
    <s v="E0235"/>
    <x v="3"/>
    <x v="4"/>
    <s v="Congés payés"/>
    <n v="10"/>
  </r>
  <r>
    <s v="E0235"/>
    <x v="3"/>
    <x v="7"/>
    <s v="Congés payés"/>
    <n v="3"/>
  </r>
  <r>
    <s v="E0237"/>
    <x v="2"/>
    <x v="1"/>
    <s v="RTT"/>
    <n v="1"/>
  </r>
  <r>
    <s v="E0237"/>
    <x v="2"/>
    <x v="3"/>
    <s v="RTT"/>
    <n v="1"/>
  </r>
  <r>
    <s v="E0242"/>
    <x v="5"/>
    <x v="4"/>
    <s v="Maladie"/>
    <n v="5"/>
  </r>
  <r>
    <s v="E0242"/>
    <x v="5"/>
    <x v="9"/>
    <s v="Sans solde"/>
    <n v="5"/>
  </r>
  <r>
    <s v="E0243"/>
    <x v="1"/>
    <x v="5"/>
    <s v="Maladie"/>
    <n v="3"/>
  </r>
  <r>
    <s v="E0243"/>
    <x v="1"/>
    <x v="8"/>
    <s v="Congés payés"/>
    <n v="8"/>
  </r>
  <r>
    <s v="E0244"/>
    <x v="0"/>
    <x v="4"/>
    <s v="Maladie"/>
    <n v="2"/>
  </r>
  <r>
    <s v="E0244"/>
    <x v="0"/>
    <x v="5"/>
    <s v="Congés payés"/>
    <n v="5"/>
  </r>
  <r>
    <s v="E0245"/>
    <x v="0"/>
    <x v="2"/>
    <s v="RTT"/>
    <n v="1"/>
  </r>
  <r>
    <s v="E0245"/>
    <x v="0"/>
    <x v="5"/>
    <s v="Maladie"/>
    <n v="1"/>
  </r>
  <r>
    <s v="E0246"/>
    <x v="1"/>
    <x v="5"/>
    <s v="Congés payés"/>
    <n v="9"/>
  </r>
  <r>
    <s v="E0247"/>
    <x v="3"/>
    <x v="11"/>
    <s v="RTT"/>
    <n v="1"/>
  </r>
  <r>
    <s v="E0247"/>
    <x v="3"/>
    <x v="5"/>
    <s v="RTT"/>
    <n v="1"/>
  </r>
  <r>
    <s v="E0248"/>
    <x v="4"/>
    <x v="3"/>
    <s v="Congés payés"/>
    <n v="5"/>
  </r>
  <r>
    <s v="E0248"/>
    <x v="4"/>
    <x v="7"/>
    <s v="Maladie"/>
    <n v="4"/>
  </r>
  <r>
    <s v="E0248"/>
    <x v="4"/>
    <x v="4"/>
    <s v="Congés payés"/>
    <n v="4"/>
  </r>
  <r>
    <s v="E0248"/>
    <x v="4"/>
    <x v="3"/>
    <s v="Congés payés"/>
    <n v="3"/>
  </r>
  <r>
    <s v="E0250"/>
    <x v="4"/>
    <x v="10"/>
    <s v="Maladie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91B82-1739-416E-82F8-17C9CE818D29}" name="Tableau croisé dynamique1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>
  <location ref="Q1:R4" firstHeaderRow="1" firstDataRow="1" firstDataCol="1"/>
  <pivotFields count="13">
    <pivotField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showAll="0"/>
    <pivotField showAll="0"/>
    <pivotField axis="axisRow" dataField="1" showAll="0">
      <items count="3">
        <item x="0"/>
        <item x="1"/>
        <item t="default"/>
      </items>
    </pivotField>
    <pivotField numFmtId="14" showAll="0"/>
    <pivotField numFmtId="14" showAll="0"/>
    <pivotField showAll="0">
      <items count="4">
        <item x="2"/>
        <item x="0"/>
        <item x="1"/>
        <item t="default"/>
      </items>
    </pivotField>
    <pivotField showAll="0">
      <items count="7">
        <item x="1"/>
        <item x="5"/>
        <item x="4"/>
        <item x="2"/>
        <item x="0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numFmtId="164" showAll="0"/>
    <pivotField numFmtId="1" showAll="0"/>
    <pivotField numFmtId="1" showAll="0"/>
    <pivotField numFmtId="14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Nombre de Sexe" fld="3" subtotal="count" baseField="0" baseItem="0"/>
  </dataFields>
  <chartFormats count="3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B18FB-F168-4CD4-B621-306B2BB038CA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M1:N8" firstHeaderRow="1" firstDataRow="1" firstDataCol="1"/>
  <pivotFields count="13">
    <pivotField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numFmtId="14" showAll="0"/>
    <pivotField numFmtId="14" showAll="0"/>
    <pivotField showAll="0">
      <items count="4">
        <item x="2"/>
        <item x="0"/>
        <item x="1"/>
        <item t="default"/>
      </items>
    </pivotField>
    <pivotField axis="axisRow" showAll="0">
      <items count="7">
        <item x="1"/>
        <item x="5"/>
        <item x="4"/>
        <item x="2"/>
        <item x="0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dataField="1" numFmtId="164" showAll="0"/>
    <pivotField numFmtId="1" showAll="0">
      <items count="43">
        <item x="9"/>
        <item x="37"/>
        <item x="27"/>
        <item x="35"/>
        <item x="41"/>
        <item x="6"/>
        <item x="38"/>
        <item x="26"/>
        <item x="40"/>
        <item x="3"/>
        <item x="2"/>
        <item x="33"/>
        <item x="34"/>
        <item x="21"/>
        <item x="10"/>
        <item x="25"/>
        <item x="1"/>
        <item x="12"/>
        <item x="14"/>
        <item x="19"/>
        <item x="16"/>
        <item x="8"/>
        <item x="24"/>
        <item x="4"/>
        <item x="32"/>
        <item x="39"/>
        <item x="7"/>
        <item x="23"/>
        <item x="20"/>
        <item x="17"/>
        <item x="13"/>
        <item x="29"/>
        <item x="22"/>
        <item x="28"/>
        <item x="0"/>
        <item x="30"/>
        <item x="11"/>
        <item x="31"/>
        <item x="15"/>
        <item x="5"/>
        <item x="36"/>
        <item x="18"/>
        <item t="default"/>
      </items>
    </pivotField>
    <pivotField numFmtId="1" showAll="0"/>
    <pivotField numFmtId="14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oyenne de Salaire brut mensuel" fld="9" subtotal="average" baseField="7" baseItem="3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3FB12-207B-487A-B0B9-25F25360E1CC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G1:H20" firstHeaderRow="1" firstDataRow="1" firstDataCol="1"/>
  <pivotFields count="13">
    <pivotField dataField="1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numFmtId="14" showAll="0"/>
    <pivotField numFmtId="14" showAll="0"/>
    <pivotField showAll="0">
      <items count="4">
        <item x="2"/>
        <item x="0"/>
        <item x="1"/>
        <item t="default"/>
      </items>
    </pivotField>
    <pivotField axis="axisRow" showAll="0">
      <items count="7">
        <item x="1"/>
        <item x="5"/>
        <item x="4"/>
        <item x="2"/>
        <item x="0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numFmtId="164" showAll="0"/>
    <pivotField numFmtId="1" showAll="0"/>
    <pivotField numFmtId="1" showAll="0"/>
    <pivotField numFmtId="14" showAll="0"/>
  </pivotFields>
  <rowFields count="2">
    <field x="7"/>
    <field x="3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Items count="1">
    <i/>
  </colItems>
  <dataFields count="1">
    <dataField name="Nombre de ID" fld="0" subtotal="count" baseField="0" baseItem="0"/>
  </dataField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0CEB6-F056-4945-8B45-0E5817FF8CA4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B23" firstHeaderRow="1" firstDataRow="1" firstDataCol="1"/>
  <pivotFields count="13">
    <pivotField showAll="0"/>
    <pivotField showAll="0"/>
    <pivotField showAll="0"/>
    <pivotField showAll="0"/>
    <pivotField numFmtId="14" showAll="0"/>
    <pivotField numFmtId="14" showAll="0"/>
    <pivotField axis="axisRow" showAll="0">
      <items count="4">
        <item x="2"/>
        <item x="0"/>
        <item x="1"/>
        <item t="default"/>
      </items>
    </pivotField>
    <pivotField axis="axisRow" showAll="0">
      <items count="7">
        <item x="1"/>
        <item x="5"/>
        <item x="4"/>
        <item x="2"/>
        <item x="0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dataField="1" numFmtId="164" showAll="0"/>
    <pivotField numFmtId="1" showAll="0"/>
    <pivotField numFmtId="1" showAll="0"/>
    <pivotField numFmtId="14" showAll="0"/>
  </pivotFields>
  <rowFields count="2">
    <field x="6"/>
    <field x="7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Moyenne de Salaire brut mensuel" fld="9" subtotal="average" baseField="6" baseItem="0" numFmtId="164"/>
  </dataField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31150-872A-4F55-A353-836BD7897EB9}" name="Tableau croisé dynamique9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3:B16" firstHeaderRow="1" firstDataRow="1" firstDataCol="1"/>
  <pivotFields count="7">
    <pivotField showAll="0"/>
    <pivotField showAll="0">
      <items count="7">
        <item x="1"/>
        <item x="3"/>
        <item x="5"/>
        <item x="2"/>
        <item x="0"/>
        <item x="4"/>
        <item t="default"/>
      </items>
    </pivotField>
    <pivotField axis="axisRow" numFmtId="14" showAll="0">
      <items count="13">
        <item x="10"/>
        <item x="5"/>
        <item x="6"/>
        <item x="9"/>
        <item x="4"/>
        <item x="8"/>
        <item x="7"/>
        <item x="0"/>
        <item x="2"/>
        <item x="1"/>
        <item x="11"/>
        <item x="3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6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e de Nombre de jours" fld="4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791458E5-64C6-47B8-84DC-1457116505C6}" autoFormatId="16" applyNumberFormats="0" applyBorderFormats="0" applyFontFormats="0" applyPatternFormats="0" applyAlignmentFormats="0" applyWidthHeightFormats="0">
  <queryTableRefresh nextId="14" unboundColumnsRight="3">
    <queryTableFields count="13">
      <queryTableField id="1" name="ID" tableColumnId="1"/>
      <queryTableField id="2" name="Nom" tableColumnId="2"/>
      <queryTableField id="3" name="Prénom" tableColumnId="3"/>
      <queryTableField id="4" name="Sexe" tableColumnId="4"/>
      <queryTableField id="5" name="Date de naissance" tableColumnId="5"/>
      <queryTableField id="6" name="Date d'entrée" tableColumnId="6"/>
      <queryTableField id="7" name="Site" tableColumnId="7"/>
      <queryTableField id="8" name="Service" tableColumnId="8"/>
      <queryTableField id="9" name="Statut" tableColumnId="9"/>
      <queryTableField id="10" name="Salaire brut mensuel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5DF5FF39-95DA-4362-983E-05258334CC2C}" autoFormatId="16" applyNumberFormats="0" applyBorderFormats="0" applyFontFormats="0" applyPatternFormats="0" applyAlignmentFormats="0" applyWidthHeightFormats="0">
  <queryTableRefresh nextId="6">
    <queryTableFields count="5">
      <queryTableField id="1" name="ID employé" tableColumnId="1"/>
      <queryTableField id="2" name="Service" tableColumnId="2"/>
      <queryTableField id="3" name="Mois" tableColumnId="3"/>
      <queryTableField id="4" name="Type d'absence" tableColumnId="4"/>
      <queryTableField id="5" name="Nombre de jour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833C5404-5AE4-4DD8-BC47-6996F609E1BB}" autoFormatId="16" applyNumberFormats="0" applyBorderFormats="0" applyFontFormats="0" applyPatternFormats="0" applyAlignmentFormats="0" applyWidthHeightFormats="0">
  <queryTableRefresh nextId="7">
    <queryTableFields count="6">
      <queryTableField id="1" name="ID employé" tableColumnId="1"/>
      <queryTableField id="2" name="Service" tableColumnId="2"/>
      <queryTableField id="3" name="Intitulé de formation" tableColumnId="3"/>
      <queryTableField id="4" name="Durée (jours)" tableColumnId="4"/>
      <queryTableField id="5" name="Coût" tableColumnId="5"/>
      <queryTableField id="6" name="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00C0D76E-E1B8-4011-9A7B-EECF0C5F7DAE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ID employé" tableColumnId="1"/>
      <queryTableField id="2" name="Service" tableColumnId="2"/>
      <queryTableField id="3" name="Date dernier entretien" tableColumnId="3"/>
      <queryTableField id="4" name="Évaluation" tableColumnId="4"/>
      <queryTableField id="5" dataBound="0" tableColumnId="5"/>
      <queryTableField id="6" dataBound="0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1DD2F4BB-9C59-4023-8FE9-9C63C3CA0AA5}" autoFormatId="16" applyNumberFormats="0" applyBorderFormats="0" applyFontFormats="0" applyPatternFormats="0" applyAlignmentFormats="0" applyWidthHeightFormats="0">
  <queryTableRefresh nextId="5">
    <queryTableFields count="4">
      <queryTableField id="1" name="ID employé" tableColumnId="1"/>
      <queryTableField id="2" name="Service" tableColumnId="2"/>
      <queryTableField id="3" name="Date de départ" tableColumnId="3"/>
      <queryTableField id="4" name="Motif du départ" tableColumnId="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tatut" xr10:uid="{A0D8CBD7-5636-45A0-BE6D-82539771749C}" sourceName="Statut">
  <pivotTables>
    <pivotTable tabId="1" name="Tableau croisé dynamique1"/>
    <pivotTable tabId="1" name="Tableau croisé dynamique2"/>
    <pivotTable tabId="1" name="Tableau croisé dynamique7"/>
    <pivotTable tabId="1" name="Tableau croisé dynamique11"/>
  </pivotTables>
  <data>
    <tabular pivotCacheId="362932083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ite" xr10:uid="{1C68090F-822F-4B18-AAFC-04945A49094F}" sourceName="Site">
  <pivotTables>
    <pivotTable tabId="1" name="Tableau croisé dynamique2"/>
    <pivotTable tabId="1" name="Tableau croisé dynamique7"/>
    <pivotTable tabId="1" name="Tableau croisé dynamique11"/>
    <pivotTable tabId="1" name="Tableau croisé dynamique1"/>
  </pivotTables>
  <data>
    <tabular pivotCacheId="362932083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xe" xr10:uid="{64BA34AF-5AFA-4C7F-B80C-D1EFB47079DD}" sourceName="Sexe">
  <pivotTables>
    <pivotTable tabId="1" name="Tableau croisé dynamique7"/>
  </pivotTables>
  <data>
    <tabular pivotCacheId="362932083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rvice" xr10:uid="{FF705E9B-6D21-45A0-B676-1ABD524A5DFB}" sourceName="Service">
  <pivotTables>
    <pivotTable tabId="10" name="Tableau croisé dynamique9"/>
  </pivotTables>
  <data>
    <tabular pivotCacheId="1068585861">
      <items count="6">
        <i x="1" s="1"/>
        <i x="3" s="1"/>
        <i x="5" s="1"/>
        <i x="2" s="1"/>
        <i x="0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t" xr10:uid="{AAB020E8-C7F9-4B64-AE7C-2C5CA3E86714}" cache="Segment_Statut" caption="Statut" rowHeight="241300"/>
  <slicer name="Site" xr10:uid="{6F260EA1-B6FD-4999-A99D-DC0E0815F662}" cache="Segment_Site" caption="Site" style="SlicerStyleLight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te 1" xr10:uid="{7D8C424B-0722-4A05-BEC2-2F5A56C1251F}" cache="Segment_Site" caption="Site" rowHeight="241300"/>
  <slicer name="Sexe" xr10:uid="{4CCA0BE0-0D20-430F-BF4C-677FAC29C051}" cache="Segment_Sexe" caption="Sexe" rowHeight="241300"/>
  <slicer name="Service" xr10:uid="{227F236D-D788-4366-8A11-E82C981F1324}" cache="Segment_Service" caption="Service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FDE2C6-3BB0-4892-8FA9-AB886FEE77DB}" name="personel" displayName="personel" ref="A1:M251" tableType="queryTable" totalsRowShown="0" headerRowDxfId="53">
  <autoFilter ref="A1:M251" xr:uid="{3CFDE2C6-3BB0-4892-8FA9-AB886FEE77DB}"/>
  <tableColumns count="13">
    <tableColumn id="1" xr3:uid="{98A6731E-BAEA-48E2-BDA3-DC4208B65AA6}" uniqueName="1" name="ID" queryTableFieldId="1" dataDxfId="52"/>
    <tableColumn id="2" xr3:uid="{9B49456F-F496-4C3B-A65B-37ABBA051F5D}" uniqueName="2" name="Nom" queryTableFieldId="2" dataDxfId="51"/>
    <tableColumn id="3" xr3:uid="{4A785362-C1B0-426A-94D7-962CC2D60B92}" uniqueName="3" name="Prénom" queryTableFieldId="3" dataDxfId="50"/>
    <tableColumn id="4" xr3:uid="{115579A5-C4D6-4032-8C4C-C5D47A62DC26}" uniqueName="4" name="Sexe" queryTableFieldId="4" dataDxfId="49"/>
    <tableColumn id="5" xr3:uid="{652666D7-F281-4C42-A2AD-280D212E321E}" uniqueName="5" name="Date de naissance" queryTableFieldId="5" dataDxfId="48"/>
    <tableColumn id="6" xr3:uid="{FC36AEBC-8A41-44D8-AA17-4391F267C68E}" uniqueName="6" name="Date d'entrée" queryTableFieldId="6" dataDxfId="47"/>
    <tableColumn id="7" xr3:uid="{C7C996FB-02AA-4469-8063-F4E167ADA0DD}" uniqueName="7" name="Site" queryTableFieldId="7" dataDxfId="46"/>
    <tableColumn id="8" xr3:uid="{38A396E0-7E03-4A60-A4AF-0F2A4ED0674D}" uniqueName="8" name="Service" queryTableFieldId="8" dataDxfId="45"/>
    <tableColumn id="9" xr3:uid="{9E2D56EE-A606-4354-90D8-3970DF59DE62}" uniqueName="9" name="Statut" queryTableFieldId="9" dataDxfId="44"/>
    <tableColumn id="10" xr3:uid="{29B34F3D-8C4E-4B38-B4C4-12B38E1F318D}" uniqueName="10" name="Salaire brut mensuel" queryTableFieldId="10" dataDxfId="43"/>
    <tableColumn id="11" xr3:uid="{B20881BE-A139-4E28-8FA3-78F495B500ED}" uniqueName="11" name="Age" queryTableFieldId="11" dataDxfId="42">
      <calculatedColumnFormula>DATEDIF(personel[[#This Row],[Date de naissance]], TODAY(), "Y")</calculatedColumnFormula>
    </tableColumn>
    <tableColumn id="12" xr3:uid="{92267003-0B01-4C0E-BDAB-790BDEFDB344}" uniqueName="12" name="Ancienneté" queryTableFieldId="12" dataDxfId="41">
      <calculatedColumnFormula>DATEDIF(personel[[#This Row],[Date d''entrée]], TODAY(), "Y")</calculatedColumnFormula>
    </tableColumn>
    <tableColumn id="13" xr3:uid="{E77AFADC-9C7D-4971-9558-5678682F695D}" uniqueName="13" name="Date Anniv. Contrat" queryTableFieldId="13" dataDxfId="40">
      <calculatedColumnFormula>(EDATE(personel[[#This Row],[Date d''entrée]], 12))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D3D582-E788-49D1-9517-1171E0BD5ED8}" name="Sheet1" displayName="Sheet1" ref="A1:E357" tableType="queryTable" totalsRowShown="0" headerRowDxfId="39">
  <autoFilter ref="A1:E357" xr:uid="{5AD3D582-E788-49D1-9517-1171E0BD5ED8}"/>
  <tableColumns count="5">
    <tableColumn id="1" xr3:uid="{817B32B7-0256-4830-9FD3-9139D646FF53}" uniqueName="1" name="ID employé" queryTableFieldId="1" dataDxfId="38"/>
    <tableColumn id="2" xr3:uid="{F68F3E01-0A2E-48E3-82AF-5841AD0F91B8}" uniqueName="2" name="Service" queryTableFieldId="2" dataDxfId="37"/>
    <tableColumn id="3" xr3:uid="{36BA466C-B953-4245-9F07-3DDFFEEEA272}" uniqueName="3" name="Mois" queryTableFieldId="3" dataDxfId="36"/>
    <tableColumn id="4" xr3:uid="{9502FE83-96BD-446D-BD52-B02FC4072BEA}" uniqueName="4" name="Type d'absence" queryTableFieldId="4" dataDxfId="35"/>
    <tableColumn id="5" xr3:uid="{1C487CF3-0D3C-4CAD-B5B0-3DE5D1E7146D}" uniqueName="5" name="Nombre de jours" queryTableFieldId="5" dataDxfId="34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7CC681-1CE4-4DB3-B559-13599A69D07A}" name="formations" displayName="formations" ref="A1:F136" tableType="queryTable" totalsRowShown="0" headerRowDxfId="33" dataDxfId="31" headerRowBorderDxfId="32" tableBorderDxfId="30" totalsRowBorderDxfId="29">
  <autoFilter ref="A1:F136" xr:uid="{DD7CC681-1CE4-4DB3-B559-13599A69D07A}"/>
  <tableColumns count="6">
    <tableColumn id="1" xr3:uid="{D215335C-8888-4A35-BC8A-95C09229B488}" uniqueName="1" name="ID employé" queryTableFieldId="1" dataDxfId="28"/>
    <tableColumn id="2" xr3:uid="{964EFB86-32AC-428C-A0B4-1C76D872A167}" uniqueName="2" name="Service" queryTableFieldId="2" dataDxfId="27"/>
    <tableColumn id="3" xr3:uid="{B011F673-35A0-403C-90F9-A320E7AF9D3F}" uniqueName="3" name="Intitulé de formation" queryTableFieldId="3" dataDxfId="26"/>
    <tableColumn id="4" xr3:uid="{1F925616-3610-4F0E-9492-10271CBD6192}" uniqueName="4" name="Durée (jours)" queryTableFieldId="4" dataDxfId="25"/>
    <tableColumn id="5" xr3:uid="{E4438513-6439-4E82-8972-B3693F008C59}" uniqueName="5" name="Coût" queryTableFieldId="5" dataDxfId="24" dataCellStyle="Milliers"/>
    <tableColumn id="6" xr3:uid="{50951EB8-464D-4987-B026-5D4662A59703}" uniqueName="6" name="Date" queryTableFieldId="6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8FEF7A-56DF-44DC-8B0B-3C39FA156581}" name="entretiens" displayName="entretiens" ref="A1:F251" tableType="queryTable" totalsRowShown="0">
  <autoFilter ref="A1:F251" xr:uid="{918FEF7A-56DF-44DC-8B0B-3C39FA156581}"/>
  <tableColumns count="6">
    <tableColumn id="1" xr3:uid="{1662C0FB-FFFE-4B80-91F0-0E81A180BD2C}" uniqueName="1" name="ID employé" queryTableFieldId="1" dataDxfId="22"/>
    <tableColumn id="2" xr3:uid="{973790DB-11E5-4507-9BAC-96964B713D63}" uniqueName="2" name="Service" queryTableFieldId="2" dataDxfId="21"/>
    <tableColumn id="3" xr3:uid="{49DB89DA-CCD2-48D2-B38A-F6F3BD05182F}" uniqueName="3" name="Date dernier entretien" queryTableFieldId="3" dataDxfId="20"/>
    <tableColumn id="4" xr3:uid="{EDC26F86-6047-473A-A085-18F085220233}" uniqueName="4" name="Évaluation" queryTableFieldId="4" dataDxfId="19"/>
    <tableColumn id="5" xr3:uid="{8493834A-5E92-43ED-97B0-EC5FB69A7C8E}" uniqueName="5" name="Mois depuis entretien" queryTableFieldId="5" dataDxfId="18">
      <calculatedColumnFormula>DATEDIF(entretiens[[#This Row],[Date dernier entretien]], TODAY(), "M")</calculatedColumnFormula>
    </tableColumn>
    <tableColumn id="6" xr3:uid="{3A155D51-37DC-4B4B-8B76-DB579EB83184}" uniqueName="6" name="Alerte" queryTableFieldId="6" dataDxfId="17">
      <calculatedColumnFormula>IF(entretiens[[#This Row],[Mois depuis entretien]] &gt; 12, "À contrôler", "")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5CD163-E8F2-416A-A1DE-8759D989FC9C}" name="Tableau8" displayName="Tableau8" ref="H3:I8" totalsRowShown="0">
  <autoFilter ref="H3:I8" xr:uid="{2F5CD163-E8F2-416A-A1DE-8759D989FC9C}"/>
  <tableColumns count="2">
    <tableColumn id="1" xr3:uid="{EC2BC5A9-771B-46AA-BF76-C871BD71D8C6}" name="Evaluation"/>
    <tableColumn id="2" xr3:uid="{8203746E-080F-4BCC-AEE4-6D0C190E9FAD}" name="Nombre" dataDxfId="16">
      <calculatedColumnFormula>COUNTIF(D:D,Tableau8[[#This Row],[Evaluation]])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11608B-F023-4D4F-8C0F-3548AB06B736}" name="quittances" displayName="quittances" ref="A1:D31" tableType="queryTable" totalsRowShown="0">
  <autoFilter ref="A1:D31" xr:uid="{CA11608B-F023-4D4F-8C0F-3548AB06B736}"/>
  <tableColumns count="4">
    <tableColumn id="1" xr3:uid="{7E577C46-3212-4163-8D71-4B534BFE7ECA}" uniqueName="1" name="ID employé" queryTableFieldId="1" dataDxfId="15"/>
    <tableColumn id="2" xr3:uid="{2AA9E37D-A4C2-40AC-A6C9-804DEA5690F3}" uniqueName="2" name="Service" queryTableFieldId="2" dataDxfId="14"/>
    <tableColumn id="3" xr3:uid="{7EF22C2F-66E0-414D-AE22-7AC0CD5B030A}" uniqueName="3" name="Date de départ" queryTableFieldId="3" dataDxfId="13"/>
    <tableColumn id="4" xr3:uid="{76FD7520-A11A-4AB0-A209-BA0248E953BC}" uniqueName="4" name="Motif du départ" queryTableFieldId="4" dataDxfId="1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009BEE-0825-4F52-A31F-178893D05BE5}" name="Taux_de_départ_par_service" displayName="Taux_de_départ_par_service" ref="A35:D41" totalsRowShown="0">
  <autoFilter ref="A35:D41" xr:uid="{44009BEE-0825-4F52-A31F-178893D05BE5}"/>
  <tableColumns count="4">
    <tableColumn id="1" xr3:uid="{738AA9AD-AEFB-4041-8368-7943C89AB58F}" name="Service"/>
    <tableColumn id="2" xr3:uid="{A921D8F8-F9F7-4BE9-BD74-07598EB97896}" name="Départs" dataDxfId="11">
      <calculatedColumnFormula>COUNTIF(quittances[Service],Taux_de_départ_par_service[[#This Row],[Service]])</calculatedColumnFormula>
    </tableColumn>
    <tableColumn id="3" xr3:uid="{CD2213A7-CB22-4313-87EC-D060E991673B}" name="Effectif" dataDxfId="10">
      <calculatedColumnFormula>COUNTIF(personel!H:H,Taux_de_départ_par_service[[#This Row],[Service]])</calculatedColumnFormula>
    </tableColumn>
    <tableColumn id="4" xr3:uid="{CF989E21-11AF-4400-975E-AF0F3B588934}" name="Taux de départ" dataCellStyle="Pourcentage">
      <calculatedColumnFormula>Taux_de_départ_par_service[[#This Row],[Départs]]/Taux_de_départ_par_service[[#This Row],[Effectif]]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4A5F7B-A9EC-4CF9-84E9-9FD5038FD9C0}" name="Top10_Absence_Salariés" displayName="Top10_Absence_Salariés" ref="A2:B184" totalsRowShown="0">
  <autoFilter ref="A2:B184" xr:uid="{774A5F7B-A9EC-4CF9-84E9-9FD5038FD9C0}">
    <filterColumn colId="1">
      <top10 val="10" filterVal="19"/>
    </filterColumn>
  </autoFilter>
  <sortState xmlns:xlrd2="http://schemas.microsoft.com/office/spreadsheetml/2017/richdata2" ref="A14:B175">
    <sortCondition descending="1" ref="B2:B184"/>
  </sortState>
  <tableColumns count="2">
    <tableColumn id="1" xr3:uid="{AA1A4F1E-2EAF-45DB-BA19-0515AC8E6FB5}" name="ID employé" dataDxfId="9"/>
    <tableColumn id="2" xr3:uid="{01558848-232B-4B36-8B4F-9D7D90D0EA1B}" name="Jours d'absence" dataDxfId="8">
      <calculatedColumnFormula>SUMIF(absences!A:A,Top10_Absence_Salariés[[#This Row],[ID employé]],absences!E:E)</calculatedColumnFormula>
    </tableColumn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5AAE0-9FFA-4493-AD05-59003031930B}" name="Taux_absentéisme_service_mois" displayName="Taux_absentéisme_service_mois" ref="A189:D260" totalsRowShown="0" dataDxfId="6" headerRowBorderDxfId="7" tableBorderDxfId="5">
  <autoFilter ref="A189:D260" xr:uid="{B545AAE0-9FFA-4493-AD05-59003031930B}"/>
  <sortState xmlns:xlrd2="http://schemas.microsoft.com/office/spreadsheetml/2017/richdata2" ref="A190:B260">
    <sortCondition ref="A189:A260"/>
  </sortState>
  <tableColumns count="4">
    <tableColumn id="1" xr3:uid="{538F16E7-789B-4B82-9ABA-5A55F02472FB}" name="Service" dataDxfId="4"/>
    <tableColumn id="2" xr3:uid="{FE2EBF2F-7211-4093-963A-273DF57DB2AD}" name="Mois" dataDxfId="3"/>
    <tableColumn id="5" xr3:uid="{A53E623C-2962-4494-A682-8590C4414396}" name="Jours absence" dataDxfId="2">
      <calculatedColumnFormula>SUMIFS(absences!E:E, absences!B:B, Taux_absentéisme_service_mois[[#This Row],[Service]], absences!C:C, Taux_absentéisme_service_mois[[#This Row],[Mois]])</calculatedColumnFormula>
    </tableColumn>
    <tableColumn id="3" xr3:uid="{8133C4D4-245E-4C52-A886-1064D421376D}" name="Taux Absentéisme" dataDxfId="1" dataCellStyle="Pourcentage">
      <calculatedColumnFormula>C190/(COUNTIF(personel!H:H,Synthèse_Absences!A190)*20)</calculatedColumnFormula>
    </tableColumn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703CDB3-350D-4F39-895D-D10B6C9F0B1E}" name="Taux_de_départ_par_service12" displayName="Taux_de_départ_par_service12" ref="J8:M14" totalsRowShown="0">
  <autoFilter ref="J8:M14" xr:uid="{1703CDB3-350D-4F39-895D-D10B6C9F0B1E}"/>
  <tableColumns count="4">
    <tableColumn id="1" xr3:uid="{6A925663-45DA-4410-9EDF-5371D57DFF1E}" name="Service"/>
    <tableColumn id="2" xr3:uid="{20E80C65-D8B0-49E3-8A2A-DEE82E3268CE}" name="Départs" dataDxfId="56">
      <calculatedColumnFormula>COUNTIF(quittances[Service],Taux_de_départ_par_service12[[#This Row],[Service]])</calculatedColumnFormula>
    </tableColumn>
    <tableColumn id="3" xr3:uid="{52B046D6-1125-4DFD-9A34-52FBDE3EFE1E}" name="Effectif" dataDxfId="55">
      <calculatedColumnFormula>COUNTIF(personel!Q:Q,Taux_de_départ_par_service12[[#This Row],[Service]])</calculatedColumnFormula>
    </tableColumn>
    <tableColumn id="4" xr3:uid="{000F940E-4778-4C79-8954-A8EEE7735D3D}" name="Taux de départ" dataDxfId="54" dataCellStyle="Pourcentage">
      <calculatedColumnFormula>turnover!B36/turnover!C36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étropolitain">
  <a:themeElements>
    <a:clrScheme name="Métropolitain">
      <a:dk1>
        <a:sysClr val="windowText" lastClr="000000"/>
      </a:dk1>
      <a:lt1>
        <a:sysClr val="window" lastClr="FFFFFF"/>
      </a:lt1>
      <a:dk2>
        <a:srgbClr val="162F33"/>
      </a:dk2>
      <a:lt2>
        <a:srgbClr val="EAF0E0"/>
      </a:lt2>
      <a:accent1>
        <a:srgbClr val="50B4C8"/>
      </a:accent1>
      <a:accent2>
        <a:srgbClr val="A8B97F"/>
      </a:accent2>
      <a:accent3>
        <a:srgbClr val="9B9256"/>
      </a:accent3>
      <a:accent4>
        <a:srgbClr val="657689"/>
      </a:accent4>
      <a:accent5>
        <a:srgbClr val="7A855D"/>
      </a:accent5>
      <a:accent6>
        <a:srgbClr val="84AC9D"/>
      </a:accent6>
      <a:hlink>
        <a:srgbClr val="2370CD"/>
      </a:hlink>
      <a:folHlink>
        <a:srgbClr val="877589"/>
      </a:folHlink>
    </a:clrScheme>
    <a:fontScheme name="Métropolitai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étropolitai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589F-9094-490D-86D6-13ED52E95E1C}">
  <sheetPr>
    <tabColor theme="1"/>
  </sheetPr>
  <dimension ref="A1:M25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sqref="A1:M251"/>
    </sheetView>
  </sheetViews>
  <sheetFormatPr baseColWidth="10" defaultRowHeight="15" x14ac:dyDescent="0.25"/>
  <cols>
    <col min="1" max="1" width="5.875" customWidth="1"/>
    <col min="2" max="2" width="11.625" customWidth="1"/>
    <col min="3" max="3" width="11.875" customWidth="1"/>
    <col min="4" max="4" width="8.75" style="11" customWidth="1"/>
    <col min="5" max="5" width="20.75" style="1" customWidth="1"/>
    <col min="6" max="6" width="16.625" style="1" customWidth="1"/>
    <col min="7" max="7" width="12.75" customWidth="1"/>
    <col min="8" max="8" width="16.75" customWidth="1"/>
    <col min="9" max="9" width="11.875" customWidth="1"/>
    <col min="10" max="10" width="23.625" style="13" customWidth="1"/>
    <col min="11" max="11" width="11" style="36"/>
    <col min="13" max="13" width="21.625" style="1" bestFit="1" customWidth="1"/>
  </cols>
  <sheetData>
    <row r="1" spans="1:13" ht="15.75" x14ac:dyDescent="0.25">
      <c r="A1" s="10" t="s">
        <v>0</v>
      </c>
      <c r="B1" s="10" t="s">
        <v>1</v>
      </c>
      <c r="C1" s="10" t="s">
        <v>2</v>
      </c>
      <c r="D1" s="12" t="s">
        <v>3</v>
      </c>
      <c r="E1" s="19" t="s">
        <v>4</v>
      </c>
      <c r="F1" s="19" t="s">
        <v>5</v>
      </c>
      <c r="G1" s="10" t="s">
        <v>6</v>
      </c>
      <c r="H1" s="10" t="s">
        <v>7</v>
      </c>
      <c r="I1" s="10" t="s">
        <v>8</v>
      </c>
      <c r="J1" s="18" t="s">
        <v>9</v>
      </c>
      <c r="K1" s="35" t="s">
        <v>642</v>
      </c>
      <c r="L1" s="35" t="s">
        <v>643</v>
      </c>
      <c r="M1" s="19" t="s">
        <v>644</v>
      </c>
    </row>
    <row r="2" spans="1:13" x14ac:dyDescent="0.25">
      <c r="A2" t="s">
        <v>10</v>
      </c>
      <c r="B2" t="s">
        <v>11</v>
      </c>
      <c r="C2" t="s">
        <v>12</v>
      </c>
      <c r="D2" s="11" t="s">
        <v>13</v>
      </c>
      <c r="E2" s="1">
        <v>25393</v>
      </c>
      <c r="F2" s="1">
        <v>44402</v>
      </c>
      <c r="G2" t="s">
        <v>14</v>
      </c>
      <c r="H2" t="s">
        <v>15</v>
      </c>
      <c r="I2" t="s">
        <v>16</v>
      </c>
      <c r="J2" s="13">
        <v>3298.03</v>
      </c>
      <c r="K2" s="36">
        <f ca="1">DATEDIF(personel[[#This Row],[Date de naissance]], TODAY(), "Y")</f>
        <v>56</v>
      </c>
      <c r="L2" s="36">
        <f ca="1">DATEDIF(personel[[#This Row],[Date d''entrée]], TODAY(), "Y")</f>
        <v>4</v>
      </c>
      <c r="M2" s="1">
        <f>(EDATE(personel[[#This Row],[Date d''entrée]], 12))</f>
        <v>44767</v>
      </c>
    </row>
    <row r="3" spans="1:13" x14ac:dyDescent="0.25">
      <c r="A3" t="s">
        <v>17</v>
      </c>
      <c r="B3" t="s">
        <v>18</v>
      </c>
      <c r="C3" t="s">
        <v>19</v>
      </c>
      <c r="D3" s="11" t="s">
        <v>20</v>
      </c>
      <c r="E3" s="1">
        <v>32182</v>
      </c>
      <c r="F3" s="1">
        <v>42595</v>
      </c>
      <c r="G3" t="s">
        <v>14</v>
      </c>
      <c r="H3" t="s">
        <v>21</v>
      </c>
      <c r="I3" t="s">
        <v>16</v>
      </c>
      <c r="J3" s="13">
        <v>2917.04</v>
      </c>
      <c r="K3" s="36">
        <f ca="1">DATEDIF(personel[[#This Row],[Date de naissance]], TODAY(), "Y")</f>
        <v>38</v>
      </c>
      <c r="L3" s="36">
        <f ca="1">DATEDIF(personel[[#This Row],[Date d''entrée]], TODAY(), "Y")</f>
        <v>9</v>
      </c>
      <c r="M3" s="1">
        <f>(EDATE(personel[[#This Row],[Date d''entrée]], 12))</f>
        <v>42960</v>
      </c>
    </row>
    <row r="4" spans="1:13" x14ac:dyDescent="0.25">
      <c r="A4" t="s">
        <v>22</v>
      </c>
      <c r="B4" t="s">
        <v>23</v>
      </c>
      <c r="C4" t="s">
        <v>24</v>
      </c>
      <c r="D4" s="11" t="s">
        <v>20</v>
      </c>
      <c r="E4" s="1">
        <v>34404</v>
      </c>
      <c r="F4" s="1">
        <v>42540</v>
      </c>
      <c r="G4" t="s">
        <v>14</v>
      </c>
      <c r="H4" t="s">
        <v>25</v>
      </c>
      <c r="I4" t="s">
        <v>26</v>
      </c>
      <c r="J4" s="13">
        <v>3388.61</v>
      </c>
      <c r="K4" s="36">
        <f ca="1">DATEDIF(personel[[#This Row],[Date de naissance]], TODAY(), "Y")</f>
        <v>32</v>
      </c>
      <c r="L4" s="36">
        <f ca="1">DATEDIF(personel[[#This Row],[Date d''entrée]], TODAY(), "Y")</f>
        <v>9</v>
      </c>
      <c r="M4" s="1">
        <f>(EDATE(personel[[#This Row],[Date d''entrée]], 12))</f>
        <v>42905</v>
      </c>
    </row>
    <row r="5" spans="1:13" x14ac:dyDescent="0.25">
      <c r="A5" t="s">
        <v>27</v>
      </c>
      <c r="B5" t="s">
        <v>28</v>
      </c>
      <c r="C5" t="s">
        <v>29</v>
      </c>
      <c r="D5" s="11" t="s">
        <v>13</v>
      </c>
      <c r="E5" s="1">
        <v>34766</v>
      </c>
      <c r="F5" s="1">
        <v>42477</v>
      </c>
      <c r="G5" t="s">
        <v>30</v>
      </c>
      <c r="H5" t="s">
        <v>25</v>
      </c>
      <c r="I5" t="s">
        <v>16</v>
      </c>
      <c r="J5" s="13">
        <v>3913.82</v>
      </c>
      <c r="K5" s="36">
        <f ca="1">DATEDIF(personel[[#This Row],[Date de naissance]], TODAY(), "Y")</f>
        <v>31</v>
      </c>
      <c r="L5" s="36">
        <f ca="1">DATEDIF(personel[[#This Row],[Date d''entrée]], TODAY(), "Y")</f>
        <v>10</v>
      </c>
      <c r="M5" s="1">
        <f>(EDATE(personel[[#This Row],[Date d''entrée]], 12))</f>
        <v>42842</v>
      </c>
    </row>
    <row r="6" spans="1:13" x14ac:dyDescent="0.25">
      <c r="A6" t="s">
        <v>31</v>
      </c>
      <c r="B6" t="s">
        <v>32</v>
      </c>
      <c r="C6" t="s">
        <v>33</v>
      </c>
      <c r="D6" s="11" t="s">
        <v>20</v>
      </c>
      <c r="E6" s="1">
        <v>34597</v>
      </c>
      <c r="F6" s="1">
        <v>42413</v>
      </c>
      <c r="G6" t="s">
        <v>30</v>
      </c>
      <c r="H6" t="s">
        <v>34</v>
      </c>
      <c r="I6" t="s">
        <v>26</v>
      </c>
      <c r="J6" s="13">
        <v>2859.51</v>
      </c>
      <c r="K6" s="36">
        <f ca="1">DATEDIF(personel[[#This Row],[Date de naissance]], TODAY(), "Y")</f>
        <v>31</v>
      </c>
      <c r="L6" s="36">
        <f ca="1">DATEDIF(personel[[#This Row],[Date d''entrée]], TODAY(), "Y")</f>
        <v>10</v>
      </c>
      <c r="M6" s="1">
        <f>(EDATE(personel[[#This Row],[Date d''entrée]], 12))</f>
        <v>42779</v>
      </c>
    </row>
    <row r="7" spans="1:13" x14ac:dyDescent="0.25">
      <c r="A7" t="s">
        <v>35</v>
      </c>
      <c r="B7" t="s">
        <v>36</v>
      </c>
      <c r="C7" t="s">
        <v>37</v>
      </c>
      <c r="D7" s="11" t="s">
        <v>20</v>
      </c>
      <c r="E7" s="1">
        <v>29480</v>
      </c>
      <c r="F7" s="1">
        <v>44385</v>
      </c>
      <c r="G7" t="s">
        <v>14</v>
      </c>
      <c r="H7" t="s">
        <v>38</v>
      </c>
      <c r="I7" t="s">
        <v>26</v>
      </c>
      <c r="J7" s="13">
        <v>2859.52</v>
      </c>
      <c r="K7" s="36">
        <f ca="1">DATEDIF(personel[[#This Row],[Date de naissance]], TODAY(), "Y")</f>
        <v>45</v>
      </c>
      <c r="L7" s="36">
        <f ca="1">DATEDIF(personel[[#This Row],[Date d''entrée]], TODAY(), "Y")</f>
        <v>4</v>
      </c>
      <c r="M7" s="1">
        <f>(EDATE(personel[[#This Row],[Date d''entrée]], 12))</f>
        <v>44750</v>
      </c>
    </row>
    <row r="8" spans="1:13" x14ac:dyDescent="0.25">
      <c r="A8" t="s">
        <v>39</v>
      </c>
      <c r="B8" t="s">
        <v>40</v>
      </c>
      <c r="C8" t="s">
        <v>41</v>
      </c>
      <c r="D8" s="11" t="s">
        <v>13</v>
      </c>
      <c r="E8" s="1">
        <v>23567</v>
      </c>
      <c r="F8" s="1">
        <v>42333</v>
      </c>
      <c r="G8" t="s">
        <v>42</v>
      </c>
      <c r="H8" t="s">
        <v>38</v>
      </c>
      <c r="I8" t="s">
        <v>26</v>
      </c>
      <c r="J8" s="13">
        <v>3947.53</v>
      </c>
      <c r="K8" s="36">
        <f ca="1">DATEDIF(personel[[#This Row],[Date de naissance]], TODAY(), "Y")</f>
        <v>61</v>
      </c>
      <c r="L8" s="36">
        <f ca="1">DATEDIF(personel[[#This Row],[Date d''entrée]], TODAY(), "Y")</f>
        <v>10</v>
      </c>
      <c r="M8" s="1">
        <f>(EDATE(personel[[#This Row],[Date d''entrée]], 12))</f>
        <v>42699</v>
      </c>
    </row>
    <row r="9" spans="1:13" x14ac:dyDescent="0.25">
      <c r="A9" t="s">
        <v>43</v>
      </c>
      <c r="B9" t="s">
        <v>44</v>
      </c>
      <c r="C9" t="s">
        <v>45</v>
      </c>
      <c r="D9" s="11" t="s">
        <v>13</v>
      </c>
      <c r="E9" s="1">
        <v>36158</v>
      </c>
      <c r="F9" s="1">
        <v>42433</v>
      </c>
      <c r="G9" t="s">
        <v>30</v>
      </c>
      <c r="H9" t="s">
        <v>15</v>
      </c>
      <c r="I9" t="s">
        <v>26</v>
      </c>
      <c r="J9" s="13">
        <v>3460.46</v>
      </c>
      <c r="K9" s="36">
        <f ca="1">DATEDIF(personel[[#This Row],[Date de naissance]], TODAY(), "Y")</f>
        <v>27</v>
      </c>
      <c r="L9" s="36">
        <f ca="1">DATEDIF(personel[[#This Row],[Date d''entrée]], TODAY(), "Y")</f>
        <v>10</v>
      </c>
      <c r="M9" s="1">
        <f>(EDATE(personel[[#This Row],[Date d''entrée]], 12))</f>
        <v>42798</v>
      </c>
    </row>
    <row r="10" spans="1:13" x14ac:dyDescent="0.25">
      <c r="A10" t="s">
        <v>46</v>
      </c>
      <c r="B10" t="s">
        <v>47</v>
      </c>
      <c r="C10" t="s">
        <v>48</v>
      </c>
      <c r="D10" s="11" t="s">
        <v>20</v>
      </c>
      <c r="E10" s="1">
        <v>28442</v>
      </c>
      <c r="F10" s="1">
        <v>45352</v>
      </c>
      <c r="G10" t="s">
        <v>42</v>
      </c>
      <c r="H10" t="s">
        <v>49</v>
      </c>
      <c r="I10" t="s">
        <v>26</v>
      </c>
      <c r="J10" s="13">
        <v>2718.32</v>
      </c>
      <c r="K10" s="36">
        <f ca="1">DATEDIF(personel[[#This Row],[Date de naissance]], TODAY(), "Y")</f>
        <v>48</v>
      </c>
      <c r="L10" s="36">
        <f ca="1">DATEDIF(personel[[#This Row],[Date d''entrée]], TODAY(), "Y")</f>
        <v>2</v>
      </c>
      <c r="M10" s="1">
        <f>(EDATE(personel[[#This Row],[Date d''entrée]], 12))</f>
        <v>45717</v>
      </c>
    </row>
    <row r="11" spans="1:13" x14ac:dyDescent="0.25">
      <c r="A11" t="s">
        <v>50</v>
      </c>
      <c r="B11" t="s">
        <v>51</v>
      </c>
      <c r="C11" t="s">
        <v>52</v>
      </c>
      <c r="D11" s="11" t="s">
        <v>13</v>
      </c>
      <c r="E11" s="1">
        <v>35975</v>
      </c>
      <c r="F11" s="1">
        <v>42357</v>
      </c>
      <c r="G11" t="s">
        <v>14</v>
      </c>
      <c r="H11" t="s">
        <v>25</v>
      </c>
      <c r="I11" t="s">
        <v>26</v>
      </c>
      <c r="J11" s="13">
        <v>3325.54</v>
      </c>
      <c r="K11" s="36">
        <f ca="1">DATEDIF(personel[[#This Row],[Date de naissance]], TODAY(), "Y")</f>
        <v>27</v>
      </c>
      <c r="L11" s="36">
        <f ca="1">DATEDIF(personel[[#This Row],[Date d''entrée]], TODAY(), "Y")</f>
        <v>10</v>
      </c>
      <c r="M11" s="1">
        <f>(EDATE(personel[[#This Row],[Date d''entrée]], 12))</f>
        <v>42723</v>
      </c>
    </row>
    <row r="12" spans="1:13" x14ac:dyDescent="0.25">
      <c r="A12" t="s">
        <v>53</v>
      </c>
      <c r="B12" t="s">
        <v>54</v>
      </c>
      <c r="C12" t="s">
        <v>55</v>
      </c>
      <c r="D12" s="11" t="s">
        <v>13</v>
      </c>
      <c r="E12" s="1">
        <v>30318</v>
      </c>
      <c r="F12" s="1">
        <v>43822</v>
      </c>
      <c r="G12" t="s">
        <v>14</v>
      </c>
      <c r="H12" t="s">
        <v>49</v>
      </c>
      <c r="I12" t="s">
        <v>26</v>
      </c>
      <c r="J12" s="13">
        <v>2721.95</v>
      </c>
      <c r="K12" s="36">
        <f ca="1">DATEDIF(personel[[#This Row],[Date de naissance]], TODAY(), "Y")</f>
        <v>43</v>
      </c>
      <c r="L12" s="36">
        <f ca="1">DATEDIF(personel[[#This Row],[Date d''entrée]], TODAY(), "Y")</f>
        <v>6</v>
      </c>
      <c r="M12" s="1">
        <f>(EDATE(personel[[#This Row],[Date d''entrée]], 12))</f>
        <v>44188</v>
      </c>
    </row>
    <row r="13" spans="1:13" x14ac:dyDescent="0.25">
      <c r="A13" t="s">
        <v>56</v>
      </c>
      <c r="B13" t="s">
        <v>57</v>
      </c>
      <c r="C13" t="s">
        <v>41</v>
      </c>
      <c r="D13" s="11" t="s">
        <v>13</v>
      </c>
      <c r="E13" s="1">
        <v>38092</v>
      </c>
      <c r="F13" s="1">
        <v>42415</v>
      </c>
      <c r="G13" t="s">
        <v>42</v>
      </c>
      <c r="H13" t="s">
        <v>49</v>
      </c>
      <c r="I13" t="s">
        <v>26</v>
      </c>
      <c r="J13" s="13">
        <v>2720.56</v>
      </c>
      <c r="K13" s="36">
        <f ca="1">DATEDIF(personel[[#This Row],[Date de naissance]], TODAY(), "Y")</f>
        <v>22</v>
      </c>
      <c r="L13" s="36">
        <f ca="1">DATEDIF(personel[[#This Row],[Date d''entrée]], TODAY(), "Y")</f>
        <v>10</v>
      </c>
      <c r="M13" s="1">
        <f>(EDATE(personel[[#This Row],[Date d''entrée]], 12))</f>
        <v>42781</v>
      </c>
    </row>
    <row r="14" spans="1:13" x14ac:dyDescent="0.25">
      <c r="A14" t="s">
        <v>58</v>
      </c>
      <c r="B14" t="s">
        <v>59</v>
      </c>
      <c r="C14" t="s">
        <v>60</v>
      </c>
      <c r="D14" s="11" t="s">
        <v>13</v>
      </c>
      <c r="E14" s="1">
        <v>32907</v>
      </c>
      <c r="F14" s="1">
        <v>45408</v>
      </c>
      <c r="G14" t="s">
        <v>14</v>
      </c>
      <c r="H14" t="s">
        <v>34</v>
      </c>
      <c r="I14" t="s">
        <v>16</v>
      </c>
      <c r="J14" s="13">
        <v>3145.18</v>
      </c>
      <c r="K14" s="36">
        <f ca="1">DATEDIF(personel[[#This Row],[Date de naissance]], TODAY(), "Y")</f>
        <v>36</v>
      </c>
      <c r="L14" s="36">
        <f ca="1">DATEDIF(personel[[#This Row],[Date d''entrée]], TODAY(), "Y")</f>
        <v>2</v>
      </c>
      <c r="M14" s="1">
        <f>(EDATE(personel[[#This Row],[Date d''entrée]], 12))</f>
        <v>45773</v>
      </c>
    </row>
    <row r="15" spans="1:13" x14ac:dyDescent="0.25">
      <c r="A15" t="s">
        <v>61</v>
      </c>
      <c r="B15" t="s">
        <v>62</v>
      </c>
      <c r="C15" t="s">
        <v>63</v>
      </c>
      <c r="D15" s="11" t="s">
        <v>20</v>
      </c>
      <c r="E15" s="1">
        <v>24820</v>
      </c>
      <c r="F15" s="1">
        <v>43347</v>
      </c>
      <c r="G15" t="s">
        <v>42</v>
      </c>
      <c r="H15" t="s">
        <v>34</v>
      </c>
      <c r="I15" t="s">
        <v>26</v>
      </c>
      <c r="J15" s="13">
        <v>1852.03</v>
      </c>
      <c r="K15" s="36">
        <f ca="1">DATEDIF(personel[[#This Row],[Date de naissance]], TODAY(), "Y")</f>
        <v>58</v>
      </c>
      <c r="L15" s="36">
        <f ca="1">DATEDIF(personel[[#This Row],[Date d''entrée]], TODAY(), "Y")</f>
        <v>7</v>
      </c>
      <c r="M15" s="1">
        <f>(EDATE(personel[[#This Row],[Date d''entrée]], 12))</f>
        <v>43712</v>
      </c>
    </row>
    <row r="16" spans="1:13" x14ac:dyDescent="0.25">
      <c r="A16" t="s">
        <v>64</v>
      </c>
      <c r="B16" t="s">
        <v>65</v>
      </c>
      <c r="C16" t="s">
        <v>66</v>
      </c>
      <c r="D16" s="11" t="s">
        <v>13</v>
      </c>
      <c r="E16" s="1">
        <v>31580</v>
      </c>
      <c r="F16" s="1">
        <v>45259</v>
      </c>
      <c r="G16" t="s">
        <v>30</v>
      </c>
      <c r="H16" t="s">
        <v>25</v>
      </c>
      <c r="I16" t="s">
        <v>26</v>
      </c>
      <c r="J16" s="13">
        <v>1965.05</v>
      </c>
      <c r="K16" s="36">
        <f ca="1">DATEDIF(personel[[#This Row],[Date de naissance]], TODAY(), "Y")</f>
        <v>39</v>
      </c>
      <c r="L16" s="36">
        <f ca="1">DATEDIF(personel[[#This Row],[Date d''entrée]], TODAY(), "Y")</f>
        <v>2</v>
      </c>
      <c r="M16" s="1">
        <f>(EDATE(personel[[#This Row],[Date d''entrée]], 12))</f>
        <v>45625</v>
      </c>
    </row>
    <row r="17" spans="1:13" x14ac:dyDescent="0.25">
      <c r="A17" t="s">
        <v>67</v>
      </c>
      <c r="B17" t="s">
        <v>68</v>
      </c>
      <c r="C17" t="s">
        <v>69</v>
      </c>
      <c r="D17" s="11" t="s">
        <v>13</v>
      </c>
      <c r="E17" s="1">
        <v>26836</v>
      </c>
      <c r="F17" s="1">
        <v>43991</v>
      </c>
      <c r="G17" t="s">
        <v>30</v>
      </c>
      <c r="H17" t="s">
        <v>21</v>
      </c>
      <c r="I17" t="s">
        <v>26</v>
      </c>
      <c r="J17" s="13">
        <v>2662.63</v>
      </c>
      <c r="K17" s="36">
        <f ca="1">DATEDIF(personel[[#This Row],[Date de naissance]], TODAY(), "Y")</f>
        <v>52</v>
      </c>
      <c r="L17" s="36">
        <f ca="1">DATEDIF(personel[[#This Row],[Date d''entrée]], TODAY(), "Y")</f>
        <v>5</v>
      </c>
      <c r="M17" s="1">
        <f>(EDATE(personel[[#This Row],[Date d''entrée]], 12))</f>
        <v>44356</v>
      </c>
    </row>
    <row r="18" spans="1:13" x14ac:dyDescent="0.25">
      <c r="A18" t="s">
        <v>70</v>
      </c>
      <c r="B18" t="s">
        <v>71</v>
      </c>
      <c r="C18" t="s">
        <v>72</v>
      </c>
      <c r="D18" s="11" t="s">
        <v>13</v>
      </c>
      <c r="E18" s="1">
        <v>31421</v>
      </c>
      <c r="F18" s="1">
        <v>44312</v>
      </c>
      <c r="G18" t="s">
        <v>42</v>
      </c>
      <c r="H18" t="s">
        <v>49</v>
      </c>
      <c r="I18" t="s">
        <v>26</v>
      </c>
      <c r="J18" s="13">
        <v>2392.3000000000002</v>
      </c>
      <c r="K18" s="36">
        <f ca="1">DATEDIF(personel[[#This Row],[Date de naissance]], TODAY(), "Y")</f>
        <v>40</v>
      </c>
      <c r="L18" s="36">
        <f ca="1">DATEDIF(personel[[#This Row],[Date d''entrée]], TODAY(), "Y")</f>
        <v>5</v>
      </c>
      <c r="M18" s="1">
        <f>(EDATE(personel[[#This Row],[Date d''entrée]], 12))</f>
        <v>44677</v>
      </c>
    </row>
    <row r="19" spans="1:13" x14ac:dyDescent="0.25">
      <c r="A19" t="s">
        <v>73</v>
      </c>
      <c r="B19" t="s">
        <v>74</v>
      </c>
      <c r="C19" t="s">
        <v>75</v>
      </c>
      <c r="D19" s="11" t="s">
        <v>13</v>
      </c>
      <c r="E19" s="1">
        <v>23981</v>
      </c>
      <c r="F19" s="1">
        <v>45354</v>
      </c>
      <c r="G19" t="s">
        <v>42</v>
      </c>
      <c r="H19" t="s">
        <v>25</v>
      </c>
      <c r="I19" t="s">
        <v>26</v>
      </c>
      <c r="J19" s="13">
        <v>3188.55</v>
      </c>
      <c r="K19" s="36">
        <f ca="1">DATEDIF(personel[[#This Row],[Date de naissance]], TODAY(), "Y")</f>
        <v>60</v>
      </c>
      <c r="L19" s="36">
        <f ca="1">DATEDIF(personel[[#This Row],[Date d''entrée]], TODAY(), "Y")</f>
        <v>2</v>
      </c>
      <c r="M19" s="1">
        <f>(EDATE(personel[[#This Row],[Date d''entrée]], 12))</f>
        <v>45719</v>
      </c>
    </row>
    <row r="20" spans="1:13" x14ac:dyDescent="0.25">
      <c r="A20" t="s">
        <v>76</v>
      </c>
      <c r="B20" t="s">
        <v>77</v>
      </c>
      <c r="C20" t="s">
        <v>78</v>
      </c>
      <c r="D20" s="11" t="s">
        <v>13</v>
      </c>
      <c r="E20" s="1">
        <v>30700</v>
      </c>
      <c r="F20" s="1">
        <v>44027</v>
      </c>
      <c r="G20" t="s">
        <v>42</v>
      </c>
      <c r="H20" t="s">
        <v>21</v>
      </c>
      <c r="I20" t="s">
        <v>79</v>
      </c>
      <c r="J20" s="13">
        <v>2455.19</v>
      </c>
      <c r="K20" s="36">
        <f ca="1">DATEDIF(personel[[#This Row],[Date de naissance]], TODAY(), "Y")</f>
        <v>42</v>
      </c>
      <c r="L20" s="36">
        <f ca="1">DATEDIF(personel[[#This Row],[Date d''entrée]], TODAY(), "Y")</f>
        <v>5</v>
      </c>
      <c r="M20" s="1">
        <f>(EDATE(personel[[#This Row],[Date d''entrée]], 12))</f>
        <v>44392</v>
      </c>
    </row>
    <row r="21" spans="1:13" x14ac:dyDescent="0.25">
      <c r="A21" t="s">
        <v>80</v>
      </c>
      <c r="B21" t="s">
        <v>81</v>
      </c>
      <c r="C21" t="s">
        <v>82</v>
      </c>
      <c r="D21" s="11" t="s">
        <v>13</v>
      </c>
      <c r="E21" s="1">
        <v>27220</v>
      </c>
      <c r="F21" s="1">
        <v>42225</v>
      </c>
      <c r="G21" t="s">
        <v>30</v>
      </c>
      <c r="H21" t="s">
        <v>21</v>
      </c>
      <c r="I21" t="s">
        <v>16</v>
      </c>
      <c r="J21" s="13">
        <v>2152.62</v>
      </c>
      <c r="K21" s="36">
        <f ca="1">DATEDIF(personel[[#This Row],[Date de naissance]], TODAY(), "Y")</f>
        <v>51</v>
      </c>
      <c r="L21" s="36">
        <f ca="1">DATEDIF(personel[[#This Row],[Date d''entrée]], TODAY(), "Y")</f>
        <v>10</v>
      </c>
      <c r="M21" s="1">
        <f>(EDATE(personel[[#This Row],[Date d''entrée]], 12))</f>
        <v>42591</v>
      </c>
    </row>
    <row r="22" spans="1:13" x14ac:dyDescent="0.25">
      <c r="A22" t="s">
        <v>83</v>
      </c>
      <c r="B22" t="s">
        <v>84</v>
      </c>
      <c r="C22" t="s">
        <v>85</v>
      </c>
      <c r="D22" s="11" t="s">
        <v>20</v>
      </c>
      <c r="E22" s="1">
        <v>22892</v>
      </c>
      <c r="F22" s="1">
        <v>42598</v>
      </c>
      <c r="G22" t="s">
        <v>30</v>
      </c>
      <c r="H22" t="s">
        <v>15</v>
      </c>
      <c r="I22" t="s">
        <v>26</v>
      </c>
      <c r="J22" s="13">
        <v>3879.39</v>
      </c>
      <c r="K22" s="36">
        <f ca="1">DATEDIF(personel[[#This Row],[Date de naissance]], TODAY(), "Y")</f>
        <v>63</v>
      </c>
      <c r="L22" s="36">
        <f ca="1">DATEDIF(personel[[#This Row],[Date d''entrée]], TODAY(), "Y")</f>
        <v>9</v>
      </c>
      <c r="M22" s="1">
        <f>(EDATE(personel[[#This Row],[Date d''entrée]], 12))</f>
        <v>42963</v>
      </c>
    </row>
    <row r="23" spans="1:13" x14ac:dyDescent="0.25">
      <c r="A23" t="s">
        <v>86</v>
      </c>
      <c r="B23" t="s">
        <v>87</v>
      </c>
      <c r="C23" t="s">
        <v>88</v>
      </c>
      <c r="D23" s="11" t="s">
        <v>20</v>
      </c>
      <c r="E23" s="1">
        <v>31176</v>
      </c>
      <c r="F23" s="1">
        <v>43963</v>
      </c>
      <c r="G23" t="s">
        <v>30</v>
      </c>
      <c r="H23" t="s">
        <v>38</v>
      </c>
      <c r="I23" t="s">
        <v>26</v>
      </c>
      <c r="J23" s="13">
        <v>2864.53</v>
      </c>
      <c r="K23" s="36">
        <f ca="1">DATEDIF(personel[[#This Row],[Date de naissance]], TODAY(), "Y")</f>
        <v>41</v>
      </c>
      <c r="L23" s="36">
        <f ca="1">DATEDIF(personel[[#This Row],[Date d''entrée]], TODAY(), "Y")</f>
        <v>6</v>
      </c>
      <c r="M23" s="1">
        <f>(EDATE(personel[[#This Row],[Date d''entrée]], 12))</f>
        <v>44328</v>
      </c>
    </row>
    <row r="24" spans="1:13" x14ac:dyDescent="0.25">
      <c r="A24" t="s">
        <v>89</v>
      </c>
      <c r="B24" t="s">
        <v>90</v>
      </c>
      <c r="C24" t="s">
        <v>91</v>
      </c>
      <c r="D24" s="11" t="s">
        <v>13</v>
      </c>
      <c r="E24" s="1">
        <v>27604</v>
      </c>
      <c r="F24" s="1">
        <v>42242</v>
      </c>
      <c r="G24" t="s">
        <v>14</v>
      </c>
      <c r="H24" t="s">
        <v>34</v>
      </c>
      <c r="I24" t="s">
        <v>26</v>
      </c>
      <c r="J24" s="13">
        <v>3040.52</v>
      </c>
      <c r="K24" s="36">
        <f ca="1">DATEDIF(personel[[#This Row],[Date de naissance]], TODAY(), "Y")</f>
        <v>50</v>
      </c>
      <c r="L24" s="36">
        <f ca="1">DATEDIF(personel[[#This Row],[Date d''entrée]], TODAY(), "Y")</f>
        <v>10</v>
      </c>
      <c r="M24" s="1">
        <f>(EDATE(personel[[#This Row],[Date d''entrée]], 12))</f>
        <v>42608</v>
      </c>
    </row>
    <row r="25" spans="1:13" x14ac:dyDescent="0.25">
      <c r="A25" t="s">
        <v>92</v>
      </c>
      <c r="B25" t="s">
        <v>93</v>
      </c>
      <c r="C25" t="s">
        <v>55</v>
      </c>
      <c r="D25" s="11" t="s">
        <v>20</v>
      </c>
      <c r="E25" s="1">
        <v>33084</v>
      </c>
      <c r="F25" s="1">
        <v>45003</v>
      </c>
      <c r="G25" t="s">
        <v>14</v>
      </c>
      <c r="H25" t="s">
        <v>15</v>
      </c>
      <c r="I25" t="s">
        <v>26</v>
      </c>
      <c r="J25" s="13">
        <v>2145.15</v>
      </c>
      <c r="K25" s="36">
        <f ca="1">DATEDIF(personel[[#This Row],[Date de naissance]], TODAY(), "Y")</f>
        <v>35</v>
      </c>
      <c r="L25" s="36">
        <f ca="1">DATEDIF(personel[[#This Row],[Date d''entrée]], TODAY(), "Y")</f>
        <v>3</v>
      </c>
      <c r="M25" s="1">
        <f>(EDATE(personel[[#This Row],[Date d''entrée]], 12))</f>
        <v>45369</v>
      </c>
    </row>
    <row r="26" spans="1:13" x14ac:dyDescent="0.25">
      <c r="A26" t="s">
        <v>94</v>
      </c>
      <c r="B26" t="s">
        <v>95</v>
      </c>
      <c r="C26" t="s">
        <v>96</v>
      </c>
      <c r="D26" s="11" t="s">
        <v>20</v>
      </c>
      <c r="E26" s="1">
        <v>29427</v>
      </c>
      <c r="F26" s="1">
        <v>44650</v>
      </c>
      <c r="G26" t="s">
        <v>30</v>
      </c>
      <c r="H26" t="s">
        <v>38</v>
      </c>
      <c r="I26" t="s">
        <v>26</v>
      </c>
      <c r="J26" s="13">
        <v>2673.37</v>
      </c>
      <c r="K26" s="36">
        <f ca="1">DATEDIF(personel[[#This Row],[Date de naissance]], TODAY(), "Y")</f>
        <v>45</v>
      </c>
      <c r="L26" s="36">
        <f ca="1">DATEDIF(personel[[#This Row],[Date d''entrée]], TODAY(), "Y")</f>
        <v>4</v>
      </c>
      <c r="M26" s="1">
        <f>(EDATE(personel[[#This Row],[Date d''entrée]], 12))</f>
        <v>45015</v>
      </c>
    </row>
    <row r="27" spans="1:13" x14ac:dyDescent="0.25">
      <c r="A27" t="s">
        <v>97</v>
      </c>
      <c r="B27" t="s">
        <v>98</v>
      </c>
      <c r="C27" t="s">
        <v>99</v>
      </c>
      <c r="D27" s="11" t="s">
        <v>20</v>
      </c>
      <c r="E27" s="1">
        <v>23069</v>
      </c>
      <c r="F27" s="1">
        <v>42983</v>
      </c>
      <c r="G27" t="s">
        <v>30</v>
      </c>
      <c r="H27" t="s">
        <v>38</v>
      </c>
      <c r="I27" t="s">
        <v>79</v>
      </c>
      <c r="J27" s="13">
        <v>3066.55</v>
      </c>
      <c r="K27" s="36">
        <f ca="1">DATEDIF(personel[[#This Row],[Date de naissance]], TODAY(), "Y")</f>
        <v>63</v>
      </c>
      <c r="L27" s="36">
        <f ca="1">DATEDIF(personel[[#This Row],[Date d''entrée]], TODAY(), "Y")</f>
        <v>8</v>
      </c>
      <c r="M27" s="1">
        <f>(EDATE(personel[[#This Row],[Date d''entrée]], 12))</f>
        <v>43348</v>
      </c>
    </row>
    <row r="28" spans="1:13" x14ac:dyDescent="0.25">
      <c r="A28" t="s">
        <v>100</v>
      </c>
      <c r="B28" t="s">
        <v>101</v>
      </c>
      <c r="C28" t="s">
        <v>102</v>
      </c>
      <c r="D28" s="11" t="s">
        <v>20</v>
      </c>
      <c r="E28" s="1">
        <v>31160</v>
      </c>
      <c r="F28" s="1">
        <v>42665</v>
      </c>
      <c r="G28" t="s">
        <v>42</v>
      </c>
      <c r="H28" t="s">
        <v>25</v>
      </c>
      <c r="I28" t="s">
        <v>26</v>
      </c>
      <c r="J28" s="13">
        <v>2309.4</v>
      </c>
      <c r="K28" s="36">
        <f ca="1">DATEDIF(personel[[#This Row],[Date de naissance]], TODAY(), "Y")</f>
        <v>41</v>
      </c>
      <c r="L28" s="36">
        <f ca="1">DATEDIF(personel[[#This Row],[Date d''entrée]], TODAY(), "Y")</f>
        <v>9</v>
      </c>
      <c r="M28" s="1">
        <f>(EDATE(personel[[#This Row],[Date d''entrée]], 12))</f>
        <v>43030</v>
      </c>
    </row>
    <row r="29" spans="1:13" x14ac:dyDescent="0.25">
      <c r="A29" t="s">
        <v>103</v>
      </c>
      <c r="B29" t="s">
        <v>104</v>
      </c>
      <c r="C29" t="s">
        <v>105</v>
      </c>
      <c r="D29" s="11" t="s">
        <v>13</v>
      </c>
      <c r="E29" s="1">
        <v>30298</v>
      </c>
      <c r="F29" s="1">
        <v>43254</v>
      </c>
      <c r="G29" t="s">
        <v>14</v>
      </c>
      <c r="H29" t="s">
        <v>34</v>
      </c>
      <c r="I29" t="s">
        <v>16</v>
      </c>
      <c r="J29" s="13">
        <v>3225.42</v>
      </c>
      <c r="K29" s="36">
        <f ca="1">DATEDIF(personel[[#This Row],[Date de naissance]], TODAY(), "Y")</f>
        <v>43</v>
      </c>
      <c r="L29" s="36">
        <f ca="1">DATEDIF(personel[[#This Row],[Date d''entrée]], TODAY(), "Y")</f>
        <v>7</v>
      </c>
      <c r="M29" s="1">
        <f>(EDATE(personel[[#This Row],[Date d''entrée]], 12))</f>
        <v>43619</v>
      </c>
    </row>
    <row r="30" spans="1:13" x14ac:dyDescent="0.25">
      <c r="A30" t="s">
        <v>106</v>
      </c>
      <c r="B30" t="s">
        <v>107</v>
      </c>
      <c r="C30" t="s">
        <v>108</v>
      </c>
      <c r="D30" s="11" t="s">
        <v>20</v>
      </c>
      <c r="E30" s="1">
        <v>26250</v>
      </c>
      <c r="F30" s="1">
        <v>42635</v>
      </c>
      <c r="G30" t="s">
        <v>14</v>
      </c>
      <c r="H30" t="s">
        <v>25</v>
      </c>
      <c r="I30" t="s">
        <v>16</v>
      </c>
      <c r="J30" s="13">
        <v>2639.62</v>
      </c>
      <c r="K30" s="36">
        <f ca="1">DATEDIF(personel[[#This Row],[Date de naissance]], TODAY(), "Y")</f>
        <v>54</v>
      </c>
      <c r="L30" s="36">
        <f ca="1">DATEDIF(personel[[#This Row],[Date d''entrée]], TODAY(), "Y")</f>
        <v>9</v>
      </c>
      <c r="M30" s="1">
        <f>(EDATE(personel[[#This Row],[Date d''entrée]], 12))</f>
        <v>43000</v>
      </c>
    </row>
    <row r="31" spans="1:13" x14ac:dyDescent="0.25">
      <c r="A31" t="s">
        <v>109</v>
      </c>
      <c r="B31" t="s">
        <v>90</v>
      </c>
      <c r="C31" t="s">
        <v>110</v>
      </c>
      <c r="D31" s="11" t="s">
        <v>20</v>
      </c>
      <c r="E31" s="1">
        <v>23579</v>
      </c>
      <c r="F31" s="1">
        <v>45531</v>
      </c>
      <c r="G31" t="s">
        <v>42</v>
      </c>
      <c r="H31" t="s">
        <v>25</v>
      </c>
      <c r="I31" t="s">
        <v>26</v>
      </c>
      <c r="J31" s="13">
        <v>2824.98</v>
      </c>
      <c r="K31" s="36">
        <f ca="1">DATEDIF(personel[[#This Row],[Date de naissance]], TODAY(), "Y")</f>
        <v>61</v>
      </c>
      <c r="L31" s="36">
        <f ca="1">DATEDIF(personel[[#This Row],[Date d''entrée]], TODAY(), "Y")</f>
        <v>1</v>
      </c>
      <c r="M31" s="1">
        <f>(EDATE(personel[[#This Row],[Date d''entrée]], 12))</f>
        <v>45896</v>
      </c>
    </row>
    <row r="32" spans="1:13" x14ac:dyDescent="0.25">
      <c r="A32" t="s">
        <v>111</v>
      </c>
      <c r="B32" t="s">
        <v>112</v>
      </c>
      <c r="C32" t="s">
        <v>113</v>
      </c>
      <c r="D32" s="11" t="s">
        <v>20</v>
      </c>
      <c r="E32" s="1">
        <v>28089</v>
      </c>
      <c r="F32" s="1">
        <v>45202</v>
      </c>
      <c r="G32" t="s">
        <v>30</v>
      </c>
      <c r="H32" t="s">
        <v>15</v>
      </c>
      <c r="I32" t="s">
        <v>26</v>
      </c>
      <c r="J32" s="13">
        <v>2638.98</v>
      </c>
      <c r="K32" s="36">
        <f ca="1">DATEDIF(personel[[#This Row],[Date de naissance]], TODAY(), "Y")</f>
        <v>49</v>
      </c>
      <c r="L32" s="36">
        <f ca="1">DATEDIF(personel[[#This Row],[Date d''entrée]], TODAY(), "Y")</f>
        <v>2</v>
      </c>
      <c r="M32" s="1">
        <f>(EDATE(personel[[#This Row],[Date d''entrée]], 12))</f>
        <v>45568</v>
      </c>
    </row>
    <row r="33" spans="1:13" x14ac:dyDescent="0.25">
      <c r="A33" t="s">
        <v>114</v>
      </c>
      <c r="B33" t="s">
        <v>115</v>
      </c>
      <c r="C33" t="s">
        <v>102</v>
      </c>
      <c r="D33" s="11" t="s">
        <v>20</v>
      </c>
      <c r="E33" s="1">
        <v>28463</v>
      </c>
      <c r="F33" s="1">
        <v>45702</v>
      </c>
      <c r="G33" t="s">
        <v>30</v>
      </c>
      <c r="H33" t="s">
        <v>21</v>
      </c>
      <c r="I33" t="s">
        <v>79</v>
      </c>
      <c r="J33" s="13">
        <v>4111.37</v>
      </c>
      <c r="K33" s="36">
        <f ca="1">DATEDIF(personel[[#This Row],[Date de naissance]], TODAY(), "Y")</f>
        <v>48</v>
      </c>
      <c r="L33" s="36">
        <f ca="1">DATEDIF(personel[[#This Row],[Date d''entrée]], TODAY(), "Y")</f>
        <v>1</v>
      </c>
      <c r="M33" s="1">
        <f>(EDATE(personel[[#This Row],[Date d''entrée]], 12))</f>
        <v>46067</v>
      </c>
    </row>
    <row r="34" spans="1:13" x14ac:dyDescent="0.25">
      <c r="A34" t="s">
        <v>116</v>
      </c>
      <c r="B34" t="s">
        <v>117</v>
      </c>
      <c r="C34" t="s">
        <v>118</v>
      </c>
      <c r="D34" s="11" t="s">
        <v>20</v>
      </c>
      <c r="E34" s="1">
        <v>32890</v>
      </c>
      <c r="F34" s="1">
        <v>45287</v>
      </c>
      <c r="G34" t="s">
        <v>42</v>
      </c>
      <c r="H34" t="s">
        <v>49</v>
      </c>
      <c r="I34" t="s">
        <v>26</v>
      </c>
      <c r="J34" s="13">
        <v>2991.9</v>
      </c>
      <c r="K34" s="36">
        <f ca="1">DATEDIF(personel[[#This Row],[Date de naissance]], TODAY(), "Y")</f>
        <v>36</v>
      </c>
      <c r="L34" s="36">
        <f ca="1">DATEDIF(personel[[#This Row],[Date d''entrée]], TODAY(), "Y")</f>
        <v>2</v>
      </c>
      <c r="M34" s="1">
        <f>(EDATE(personel[[#This Row],[Date d''entrée]], 12))</f>
        <v>45653</v>
      </c>
    </row>
    <row r="35" spans="1:13" x14ac:dyDescent="0.25">
      <c r="A35" t="s">
        <v>119</v>
      </c>
      <c r="B35" t="s">
        <v>57</v>
      </c>
      <c r="C35" t="s">
        <v>120</v>
      </c>
      <c r="D35" s="11" t="s">
        <v>20</v>
      </c>
      <c r="E35" s="1">
        <v>33163</v>
      </c>
      <c r="F35" s="1">
        <v>43807</v>
      </c>
      <c r="G35" t="s">
        <v>30</v>
      </c>
      <c r="H35" t="s">
        <v>49</v>
      </c>
      <c r="I35" t="s">
        <v>26</v>
      </c>
      <c r="J35" s="13">
        <v>2365.37</v>
      </c>
      <c r="K35" s="36">
        <f ca="1">DATEDIF(personel[[#This Row],[Date de naissance]], TODAY(), "Y")</f>
        <v>35</v>
      </c>
      <c r="L35" s="36">
        <f ca="1">DATEDIF(personel[[#This Row],[Date d''entrée]], TODAY(), "Y")</f>
        <v>6</v>
      </c>
      <c r="M35" s="1">
        <f>(EDATE(personel[[#This Row],[Date d''entrée]], 12))</f>
        <v>44173</v>
      </c>
    </row>
    <row r="36" spans="1:13" x14ac:dyDescent="0.25">
      <c r="A36" t="s">
        <v>121</v>
      </c>
      <c r="B36" t="s">
        <v>122</v>
      </c>
      <c r="C36" t="s">
        <v>123</v>
      </c>
      <c r="D36" s="11" t="s">
        <v>13</v>
      </c>
      <c r="E36" s="1">
        <v>29952</v>
      </c>
      <c r="F36" s="1">
        <v>42317</v>
      </c>
      <c r="G36" t="s">
        <v>42</v>
      </c>
      <c r="H36" t="s">
        <v>34</v>
      </c>
      <c r="I36" t="s">
        <v>79</v>
      </c>
      <c r="J36" s="13">
        <v>3493.53</v>
      </c>
      <c r="K36" s="36">
        <f ca="1">DATEDIF(personel[[#This Row],[Date de naissance]], TODAY(), "Y")</f>
        <v>44</v>
      </c>
      <c r="L36" s="36">
        <f ca="1">DATEDIF(personel[[#This Row],[Date d''entrée]], TODAY(), "Y")</f>
        <v>10</v>
      </c>
      <c r="M36" s="1">
        <f>(EDATE(personel[[#This Row],[Date d''entrée]], 12))</f>
        <v>42683</v>
      </c>
    </row>
    <row r="37" spans="1:13" x14ac:dyDescent="0.25">
      <c r="A37" t="s">
        <v>124</v>
      </c>
      <c r="B37" t="s">
        <v>125</v>
      </c>
      <c r="C37" t="s">
        <v>126</v>
      </c>
      <c r="D37" s="11" t="s">
        <v>20</v>
      </c>
      <c r="E37" s="1">
        <v>30329</v>
      </c>
      <c r="F37" s="1">
        <v>43997</v>
      </c>
      <c r="G37" t="s">
        <v>30</v>
      </c>
      <c r="H37" t="s">
        <v>38</v>
      </c>
      <c r="I37" t="s">
        <v>26</v>
      </c>
      <c r="J37" s="13">
        <v>2267.4899999999998</v>
      </c>
      <c r="K37" s="36">
        <f ca="1">DATEDIF(personel[[#This Row],[Date de naissance]], TODAY(), "Y")</f>
        <v>43</v>
      </c>
      <c r="L37" s="36">
        <f ca="1">DATEDIF(personel[[#This Row],[Date d''entrée]], TODAY(), "Y")</f>
        <v>5</v>
      </c>
      <c r="M37" s="1">
        <f>(EDATE(personel[[#This Row],[Date d''entrée]], 12))</f>
        <v>44362</v>
      </c>
    </row>
    <row r="38" spans="1:13" x14ac:dyDescent="0.25">
      <c r="A38" t="s">
        <v>127</v>
      </c>
      <c r="B38" t="s">
        <v>128</v>
      </c>
      <c r="C38" t="s">
        <v>129</v>
      </c>
      <c r="D38" s="11" t="s">
        <v>20</v>
      </c>
      <c r="E38" s="1">
        <v>32575</v>
      </c>
      <c r="F38" s="1">
        <v>43566</v>
      </c>
      <c r="G38" t="s">
        <v>42</v>
      </c>
      <c r="H38" t="s">
        <v>21</v>
      </c>
      <c r="I38" t="s">
        <v>26</v>
      </c>
      <c r="J38" s="13">
        <v>3125.32</v>
      </c>
      <c r="K38" s="36">
        <f ca="1">DATEDIF(personel[[#This Row],[Date de naissance]], TODAY(), "Y")</f>
        <v>37</v>
      </c>
      <c r="L38" s="36">
        <f ca="1">DATEDIF(personel[[#This Row],[Date d''entrée]], TODAY(), "Y")</f>
        <v>7</v>
      </c>
      <c r="M38" s="1">
        <f>(EDATE(personel[[#This Row],[Date d''entrée]], 12))</f>
        <v>43932</v>
      </c>
    </row>
    <row r="39" spans="1:13" x14ac:dyDescent="0.25">
      <c r="A39" t="s">
        <v>130</v>
      </c>
      <c r="B39" t="s">
        <v>131</v>
      </c>
      <c r="C39" t="s">
        <v>132</v>
      </c>
      <c r="D39" s="11" t="s">
        <v>13</v>
      </c>
      <c r="E39" s="1">
        <v>25532</v>
      </c>
      <c r="F39" s="1">
        <v>43678</v>
      </c>
      <c r="G39" t="s">
        <v>42</v>
      </c>
      <c r="H39" t="s">
        <v>15</v>
      </c>
      <c r="I39" t="s">
        <v>79</v>
      </c>
      <c r="J39" s="13">
        <v>1824.2</v>
      </c>
      <c r="K39" s="36">
        <f ca="1">DATEDIF(personel[[#This Row],[Date de naissance]], TODAY(), "Y")</f>
        <v>56</v>
      </c>
      <c r="L39" s="36">
        <f ca="1">DATEDIF(personel[[#This Row],[Date d''entrée]], TODAY(), "Y")</f>
        <v>6</v>
      </c>
      <c r="M39" s="1">
        <f>(EDATE(personel[[#This Row],[Date d''entrée]], 12))</f>
        <v>44044</v>
      </c>
    </row>
    <row r="40" spans="1:13" x14ac:dyDescent="0.25">
      <c r="A40" t="s">
        <v>133</v>
      </c>
      <c r="B40" t="s">
        <v>122</v>
      </c>
      <c r="C40" t="s">
        <v>134</v>
      </c>
      <c r="D40" s="11" t="s">
        <v>13</v>
      </c>
      <c r="E40" s="1">
        <v>31987</v>
      </c>
      <c r="F40" s="1">
        <v>42170</v>
      </c>
      <c r="G40" t="s">
        <v>14</v>
      </c>
      <c r="H40" t="s">
        <v>49</v>
      </c>
      <c r="I40" t="s">
        <v>79</v>
      </c>
      <c r="J40" s="13">
        <v>2203.09</v>
      </c>
      <c r="K40" s="36">
        <f ca="1">DATEDIF(personel[[#This Row],[Date de naissance]], TODAY(), "Y")</f>
        <v>38</v>
      </c>
      <c r="L40" s="36">
        <f ca="1">DATEDIF(personel[[#This Row],[Date d''entrée]], TODAY(), "Y")</f>
        <v>10</v>
      </c>
      <c r="M40" s="1">
        <f>(EDATE(personel[[#This Row],[Date d''entrée]], 12))</f>
        <v>42536</v>
      </c>
    </row>
    <row r="41" spans="1:13" x14ac:dyDescent="0.25">
      <c r="A41" t="s">
        <v>135</v>
      </c>
      <c r="B41" t="s">
        <v>136</v>
      </c>
      <c r="C41" t="s">
        <v>137</v>
      </c>
      <c r="D41" s="11" t="s">
        <v>20</v>
      </c>
      <c r="E41" s="1">
        <v>22916</v>
      </c>
      <c r="F41" s="1">
        <v>43895</v>
      </c>
      <c r="G41" t="s">
        <v>30</v>
      </c>
      <c r="H41" t="s">
        <v>15</v>
      </c>
      <c r="I41" t="s">
        <v>79</v>
      </c>
      <c r="J41" s="13">
        <v>3118.12</v>
      </c>
      <c r="K41" s="36">
        <f ca="1">DATEDIF(personel[[#This Row],[Date de naissance]], TODAY(), "Y")</f>
        <v>63</v>
      </c>
      <c r="L41" s="36">
        <f ca="1">DATEDIF(personel[[#This Row],[Date d''entrée]], TODAY(), "Y")</f>
        <v>6</v>
      </c>
      <c r="M41" s="1">
        <f>(EDATE(personel[[#This Row],[Date d''entrée]], 12))</f>
        <v>44260</v>
      </c>
    </row>
    <row r="42" spans="1:13" x14ac:dyDescent="0.25">
      <c r="A42" t="s">
        <v>138</v>
      </c>
      <c r="B42" t="s">
        <v>139</v>
      </c>
      <c r="C42" t="s">
        <v>140</v>
      </c>
      <c r="D42" s="11" t="s">
        <v>20</v>
      </c>
      <c r="E42" s="1">
        <v>28254</v>
      </c>
      <c r="F42" s="1">
        <v>44632</v>
      </c>
      <c r="G42" t="s">
        <v>42</v>
      </c>
      <c r="H42" t="s">
        <v>38</v>
      </c>
      <c r="I42" t="s">
        <v>26</v>
      </c>
      <c r="J42" s="13">
        <v>3443.08</v>
      </c>
      <c r="K42" s="36">
        <f ca="1">DATEDIF(personel[[#This Row],[Date de naissance]], TODAY(), "Y")</f>
        <v>49</v>
      </c>
      <c r="L42" s="36">
        <f ca="1">DATEDIF(personel[[#This Row],[Date d''entrée]], TODAY(), "Y")</f>
        <v>4</v>
      </c>
      <c r="M42" s="1">
        <f>(EDATE(personel[[#This Row],[Date d''entrée]], 12))</f>
        <v>44997</v>
      </c>
    </row>
    <row r="43" spans="1:13" x14ac:dyDescent="0.25">
      <c r="A43" t="s">
        <v>141</v>
      </c>
      <c r="B43" t="s">
        <v>142</v>
      </c>
      <c r="C43" t="s">
        <v>143</v>
      </c>
      <c r="D43" s="11" t="s">
        <v>20</v>
      </c>
      <c r="E43" s="1">
        <v>35502</v>
      </c>
      <c r="F43" s="1">
        <v>45659</v>
      </c>
      <c r="G43" t="s">
        <v>30</v>
      </c>
      <c r="H43" t="s">
        <v>15</v>
      </c>
      <c r="I43" t="s">
        <v>16</v>
      </c>
      <c r="J43" s="13">
        <v>3102.82</v>
      </c>
      <c r="K43" s="36">
        <f ca="1">DATEDIF(personel[[#This Row],[Date de naissance]], TODAY(), "Y")</f>
        <v>29</v>
      </c>
      <c r="L43" s="36">
        <f ca="1">DATEDIF(personel[[#This Row],[Date d''entrée]], TODAY(), "Y")</f>
        <v>1</v>
      </c>
      <c r="M43" s="1">
        <f>(EDATE(personel[[#This Row],[Date d''entrée]], 12))</f>
        <v>46024</v>
      </c>
    </row>
    <row r="44" spans="1:13" x14ac:dyDescent="0.25">
      <c r="A44" t="s">
        <v>144</v>
      </c>
      <c r="B44" t="s">
        <v>145</v>
      </c>
      <c r="C44" t="s">
        <v>146</v>
      </c>
      <c r="D44" s="11" t="s">
        <v>20</v>
      </c>
      <c r="E44" s="1">
        <v>33087</v>
      </c>
      <c r="F44" s="1">
        <v>44467</v>
      </c>
      <c r="G44" t="s">
        <v>14</v>
      </c>
      <c r="H44" t="s">
        <v>25</v>
      </c>
      <c r="I44" t="s">
        <v>26</v>
      </c>
      <c r="J44" s="13">
        <v>2930.61</v>
      </c>
      <c r="K44" s="36">
        <f ca="1">DATEDIF(personel[[#This Row],[Date de naissance]], TODAY(), "Y")</f>
        <v>35</v>
      </c>
      <c r="L44" s="36">
        <f ca="1">DATEDIF(personel[[#This Row],[Date d''entrée]], TODAY(), "Y")</f>
        <v>4</v>
      </c>
      <c r="M44" s="1">
        <f>(EDATE(personel[[#This Row],[Date d''entrée]], 12))</f>
        <v>44832</v>
      </c>
    </row>
    <row r="45" spans="1:13" x14ac:dyDescent="0.25">
      <c r="A45" t="s">
        <v>147</v>
      </c>
      <c r="B45" t="s">
        <v>148</v>
      </c>
      <c r="C45" t="s">
        <v>149</v>
      </c>
      <c r="D45" s="11" t="s">
        <v>13</v>
      </c>
      <c r="E45" s="1">
        <v>23912</v>
      </c>
      <c r="F45" s="1">
        <v>44116</v>
      </c>
      <c r="G45" t="s">
        <v>14</v>
      </c>
      <c r="H45" t="s">
        <v>21</v>
      </c>
      <c r="I45" t="s">
        <v>26</v>
      </c>
      <c r="J45" s="13">
        <v>2819.34</v>
      </c>
      <c r="K45" s="36">
        <f ca="1">DATEDIF(personel[[#This Row],[Date de naissance]], TODAY(), "Y")</f>
        <v>60</v>
      </c>
      <c r="L45" s="36">
        <f ca="1">DATEDIF(personel[[#This Row],[Date d''entrée]], TODAY(), "Y")</f>
        <v>5</v>
      </c>
      <c r="M45" s="1">
        <f>(EDATE(personel[[#This Row],[Date d''entrée]], 12))</f>
        <v>44481</v>
      </c>
    </row>
    <row r="46" spans="1:13" x14ac:dyDescent="0.25">
      <c r="A46" t="s">
        <v>150</v>
      </c>
      <c r="B46" t="s">
        <v>44</v>
      </c>
      <c r="C46" t="s">
        <v>151</v>
      </c>
      <c r="D46" s="11" t="s">
        <v>20</v>
      </c>
      <c r="E46" s="1">
        <v>37222</v>
      </c>
      <c r="F46" s="1">
        <v>43721</v>
      </c>
      <c r="G46" t="s">
        <v>14</v>
      </c>
      <c r="H46" t="s">
        <v>38</v>
      </c>
      <c r="I46" t="s">
        <v>26</v>
      </c>
      <c r="J46" s="13">
        <v>2112.89</v>
      </c>
      <c r="K46" s="36">
        <f ca="1">DATEDIF(personel[[#This Row],[Date de naissance]], TODAY(), "Y")</f>
        <v>24</v>
      </c>
      <c r="L46" s="36">
        <f ca="1">DATEDIF(personel[[#This Row],[Date d''entrée]], TODAY(), "Y")</f>
        <v>6</v>
      </c>
      <c r="M46" s="1">
        <f>(EDATE(personel[[#This Row],[Date d''entrée]], 12))</f>
        <v>44087</v>
      </c>
    </row>
    <row r="47" spans="1:13" x14ac:dyDescent="0.25">
      <c r="A47" t="s">
        <v>152</v>
      </c>
      <c r="B47" t="s">
        <v>153</v>
      </c>
      <c r="C47" t="s">
        <v>154</v>
      </c>
      <c r="D47" s="11" t="s">
        <v>20</v>
      </c>
      <c r="E47" s="1">
        <v>31391</v>
      </c>
      <c r="F47" s="1">
        <v>44071</v>
      </c>
      <c r="G47" t="s">
        <v>42</v>
      </c>
      <c r="H47" t="s">
        <v>49</v>
      </c>
      <c r="I47" t="s">
        <v>26</v>
      </c>
      <c r="J47" s="13">
        <v>2568.09</v>
      </c>
      <c r="K47" s="36">
        <f ca="1">DATEDIF(personel[[#This Row],[Date de naissance]], TODAY(), "Y")</f>
        <v>40</v>
      </c>
      <c r="L47" s="36">
        <f ca="1">DATEDIF(personel[[#This Row],[Date d''entrée]], TODAY(), "Y")</f>
        <v>5</v>
      </c>
      <c r="M47" s="1">
        <f>(EDATE(personel[[#This Row],[Date d''entrée]], 12))</f>
        <v>44436</v>
      </c>
    </row>
    <row r="48" spans="1:13" x14ac:dyDescent="0.25">
      <c r="A48" t="s">
        <v>155</v>
      </c>
      <c r="B48" t="s">
        <v>156</v>
      </c>
      <c r="C48" t="s">
        <v>85</v>
      </c>
      <c r="D48" s="11" t="s">
        <v>13</v>
      </c>
      <c r="E48" s="1">
        <v>30379</v>
      </c>
      <c r="F48" s="1">
        <v>43557</v>
      </c>
      <c r="G48" t="s">
        <v>30</v>
      </c>
      <c r="H48" t="s">
        <v>15</v>
      </c>
      <c r="I48" t="s">
        <v>26</v>
      </c>
      <c r="J48" s="13">
        <v>2723.62</v>
      </c>
      <c r="K48" s="36">
        <f ca="1">DATEDIF(personel[[#This Row],[Date de naissance]], TODAY(), "Y")</f>
        <v>43</v>
      </c>
      <c r="L48" s="36">
        <f ca="1">DATEDIF(personel[[#This Row],[Date d''entrée]], TODAY(), "Y")</f>
        <v>7</v>
      </c>
      <c r="M48" s="1">
        <f>(EDATE(personel[[#This Row],[Date d''entrée]], 12))</f>
        <v>43923</v>
      </c>
    </row>
    <row r="49" spans="1:13" x14ac:dyDescent="0.25">
      <c r="A49" t="s">
        <v>157</v>
      </c>
      <c r="B49" t="s">
        <v>158</v>
      </c>
      <c r="C49" t="s">
        <v>159</v>
      </c>
      <c r="D49" s="11" t="s">
        <v>13</v>
      </c>
      <c r="E49" s="1">
        <v>32917</v>
      </c>
      <c r="F49" s="1">
        <v>42884</v>
      </c>
      <c r="G49" t="s">
        <v>42</v>
      </c>
      <c r="H49" t="s">
        <v>25</v>
      </c>
      <c r="I49" t="s">
        <v>26</v>
      </c>
      <c r="J49" s="13">
        <v>3634.27</v>
      </c>
      <c r="K49" s="36">
        <f ca="1">DATEDIF(personel[[#This Row],[Date de naissance]], TODAY(), "Y")</f>
        <v>36</v>
      </c>
      <c r="L49" s="36">
        <f ca="1">DATEDIF(personel[[#This Row],[Date d''entrée]], TODAY(), "Y")</f>
        <v>8</v>
      </c>
      <c r="M49" s="1">
        <f>(EDATE(personel[[#This Row],[Date d''entrée]], 12))</f>
        <v>43249</v>
      </c>
    </row>
    <row r="50" spans="1:13" x14ac:dyDescent="0.25">
      <c r="A50" t="s">
        <v>160</v>
      </c>
      <c r="B50" t="s">
        <v>161</v>
      </c>
      <c r="C50" t="s">
        <v>102</v>
      </c>
      <c r="D50" s="11" t="s">
        <v>13</v>
      </c>
      <c r="E50" s="1">
        <v>23994</v>
      </c>
      <c r="F50" s="1">
        <v>43911</v>
      </c>
      <c r="G50" t="s">
        <v>42</v>
      </c>
      <c r="H50" t="s">
        <v>38</v>
      </c>
      <c r="I50" t="s">
        <v>16</v>
      </c>
      <c r="J50" s="13">
        <v>3206.17</v>
      </c>
      <c r="K50" s="36">
        <f ca="1">DATEDIF(personel[[#This Row],[Date de naissance]], TODAY(), "Y")</f>
        <v>60</v>
      </c>
      <c r="L50" s="36">
        <f ca="1">DATEDIF(personel[[#This Row],[Date d''entrée]], TODAY(), "Y")</f>
        <v>6</v>
      </c>
      <c r="M50" s="1">
        <f>(EDATE(personel[[#This Row],[Date d''entrée]], 12))</f>
        <v>44276</v>
      </c>
    </row>
    <row r="51" spans="1:13" x14ac:dyDescent="0.25">
      <c r="A51" t="s">
        <v>162</v>
      </c>
      <c r="B51" t="s">
        <v>163</v>
      </c>
      <c r="C51" t="s">
        <v>60</v>
      </c>
      <c r="D51" s="11" t="s">
        <v>13</v>
      </c>
      <c r="E51" s="1">
        <v>22881</v>
      </c>
      <c r="F51" s="1">
        <v>43674</v>
      </c>
      <c r="G51" t="s">
        <v>30</v>
      </c>
      <c r="H51" t="s">
        <v>38</v>
      </c>
      <c r="I51" t="s">
        <v>26</v>
      </c>
      <c r="J51" s="13">
        <v>1942.18</v>
      </c>
      <c r="K51" s="36">
        <f ca="1">DATEDIF(personel[[#This Row],[Date de naissance]], TODAY(), "Y")</f>
        <v>63</v>
      </c>
      <c r="L51" s="36">
        <f ca="1">DATEDIF(personel[[#This Row],[Date d''entrée]], TODAY(), "Y")</f>
        <v>6</v>
      </c>
      <c r="M51" s="1">
        <f>(EDATE(personel[[#This Row],[Date d''entrée]], 12))</f>
        <v>44040</v>
      </c>
    </row>
    <row r="52" spans="1:13" x14ac:dyDescent="0.25">
      <c r="A52" t="s">
        <v>164</v>
      </c>
      <c r="B52" t="s">
        <v>165</v>
      </c>
      <c r="C52" t="s">
        <v>82</v>
      </c>
      <c r="D52" s="11" t="s">
        <v>20</v>
      </c>
      <c r="E52" s="1">
        <v>25778</v>
      </c>
      <c r="F52" s="1">
        <v>44071</v>
      </c>
      <c r="G52" t="s">
        <v>42</v>
      </c>
      <c r="H52" t="s">
        <v>38</v>
      </c>
      <c r="I52" t="s">
        <v>26</v>
      </c>
      <c r="J52" s="13">
        <v>3194.45</v>
      </c>
      <c r="K52" s="36">
        <f ca="1">DATEDIF(personel[[#This Row],[Date de naissance]], TODAY(), "Y")</f>
        <v>55</v>
      </c>
      <c r="L52" s="36">
        <f ca="1">DATEDIF(personel[[#This Row],[Date d''entrée]], TODAY(), "Y")</f>
        <v>5</v>
      </c>
      <c r="M52" s="1">
        <f>(EDATE(personel[[#This Row],[Date d''entrée]], 12))</f>
        <v>44436</v>
      </c>
    </row>
    <row r="53" spans="1:13" x14ac:dyDescent="0.25">
      <c r="A53" t="s">
        <v>166</v>
      </c>
      <c r="B53" t="s">
        <v>167</v>
      </c>
      <c r="C53" t="s">
        <v>168</v>
      </c>
      <c r="D53" s="11" t="s">
        <v>13</v>
      </c>
      <c r="E53" s="1">
        <v>30505</v>
      </c>
      <c r="F53" s="1">
        <v>42587</v>
      </c>
      <c r="G53" t="s">
        <v>30</v>
      </c>
      <c r="H53" t="s">
        <v>21</v>
      </c>
      <c r="I53" t="s">
        <v>26</v>
      </c>
      <c r="J53" s="13">
        <v>2768.95</v>
      </c>
      <c r="K53" s="36">
        <f ca="1">DATEDIF(personel[[#This Row],[Date de naissance]], TODAY(), "Y")</f>
        <v>42</v>
      </c>
      <c r="L53" s="36">
        <f ca="1">DATEDIF(personel[[#This Row],[Date d''entrée]], TODAY(), "Y")</f>
        <v>9</v>
      </c>
      <c r="M53" s="1">
        <f>(EDATE(personel[[#This Row],[Date d''entrée]], 12))</f>
        <v>42952</v>
      </c>
    </row>
    <row r="54" spans="1:13" x14ac:dyDescent="0.25">
      <c r="A54" t="s">
        <v>169</v>
      </c>
      <c r="B54" t="s">
        <v>170</v>
      </c>
      <c r="C54" t="s">
        <v>140</v>
      </c>
      <c r="D54" s="11" t="s">
        <v>13</v>
      </c>
      <c r="E54" s="1">
        <v>32853</v>
      </c>
      <c r="F54" s="1">
        <v>43065</v>
      </c>
      <c r="G54" t="s">
        <v>42</v>
      </c>
      <c r="H54" t="s">
        <v>49</v>
      </c>
      <c r="I54" t="s">
        <v>26</v>
      </c>
      <c r="J54" s="13">
        <v>2593.85</v>
      </c>
      <c r="K54" s="36">
        <f ca="1">DATEDIF(personel[[#This Row],[Date de naissance]], TODAY(), "Y")</f>
        <v>36</v>
      </c>
      <c r="L54" s="36">
        <f ca="1">DATEDIF(personel[[#This Row],[Date d''entrée]], TODAY(), "Y")</f>
        <v>8</v>
      </c>
      <c r="M54" s="1">
        <f>(EDATE(personel[[#This Row],[Date d''entrée]], 12))</f>
        <v>43430</v>
      </c>
    </row>
    <row r="55" spans="1:13" x14ac:dyDescent="0.25">
      <c r="A55" t="s">
        <v>171</v>
      </c>
      <c r="B55" t="s">
        <v>172</v>
      </c>
      <c r="C55" t="s">
        <v>173</v>
      </c>
      <c r="D55" s="11" t="s">
        <v>20</v>
      </c>
      <c r="E55" s="1">
        <v>26643</v>
      </c>
      <c r="F55" s="1">
        <v>43808</v>
      </c>
      <c r="G55" t="s">
        <v>30</v>
      </c>
      <c r="H55" t="s">
        <v>49</v>
      </c>
      <c r="I55" t="s">
        <v>26</v>
      </c>
      <c r="J55" s="13">
        <v>3367.01</v>
      </c>
      <c r="K55" s="36">
        <f ca="1">DATEDIF(personel[[#This Row],[Date de naissance]], TODAY(), "Y")</f>
        <v>53</v>
      </c>
      <c r="L55" s="36">
        <f ca="1">DATEDIF(personel[[#This Row],[Date d''entrée]], TODAY(), "Y")</f>
        <v>6</v>
      </c>
      <c r="M55" s="1">
        <f>(EDATE(personel[[#This Row],[Date d''entrée]], 12))</f>
        <v>44174</v>
      </c>
    </row>
    <row r="56" spans="1:13" x14ac:dyDescent="0.25">
      <c r="A56" t="s">
        <v>174</v>
      </c>
      <c r="B56" t="s">
        <v>175</v>
      </c>
      <c r="C56" t="s">
        <v>176</v>
      </c>
      <c r="D56" s="11" t="s">
        <v>13</v>
      </c>
      <c r="E56" s="1">
        <v>30999</v>
      </c>
      <c r="F56" s="1">
        <v>43738</v>
      </c>
      <c r="G56" t="s">
        <v>42</v>
      </c>
      <c r="H56" t="s">
        <v>34</v>
      </c>
      <c r="I56" t="s">
        <v>26</v>
      </c>
      <c r="J56" s="13">
        <v>3618.6</v>
      </c>
      <c r="K56" s="36">
        <f ca="1">DATEDIF(personel[[#This Row],[Date de naissance]], TODAY(), "Y")</f>
        <v>41</v>
      </c>
      <c r="L56" s="36">
        <f ca="1">DATEDIF(personel[[#This Row],[Date d''entrée]], TODAY(), "Y")</f>
        <v>6</v>
      </c>
      <c r="M56" s="1">
        <f>(EDATE(personel[[#This Row],[Date d''entrée]], 12))</f>
        <v>44104</v>
      </c>
    </row>
    <row r="57" spans="1:13" x14ac:dyDescent="0.25">
      <c r="A57" t="s">
        <v>177</v>
      </c>
      <c r="B57" t="s">
        <v>178</v>
      </c>
      <c r="C57" t="s">
        <v>12</v>
      </c>
      <c r="D57" s="11" t="s">
        <v>20</v>
      </c>
      <c r="E57" s="1">
        <v>25272</v>
      </c>
      <c r="F57" s="1">
        <v>44331</v>
      </c>
      <c r="G57" t="s">
        <v>30</v>
      </c>
      <c r="H57" t="s">
        <v>49</v>
      </c>
      <c r="I57" t="s">
        <v>26</v>
      </c>
      <c r="J57" s="13">
        <v>3558.77</v>
      </c>
      <c r="K57" s="36">
        <f ca="1">DATEDIF(personel[[#This Row],[Date de naissance]], TODAY(), "Y")</f>
        <v>57</v>
      </c>
      <c r="L57" s="36">
        <f ca="1">DATEDIF(personel[[#This Row],[Date d''entrée]], TODAY(), "Y")</f>
        <v>5</v>
      </c>
      <c r="M57" s="1">
        <f>(EDATE(personel[[#This Row],[Date d''entrée]], 12))</f>
        <v>44696</v>
      </c>
    </row>
    <row r="58" spans="1:13" x14ac:dyDescent="0.25">
      <c r="A58" t="s">
        <v>179</v>
      </c>
      <c r="B58" t="s">
        <v>180</v>
      </c>
      <c r="C58" t="s">
        <v>181</v>
      </c>
      <c r="D58" s="11" t="s">
        <v>13</v>
      </c>
      <c r="E58" s="1">
        <v>24292</v>
      </c>
      <c r="F58" s="1">
        <v>43964</v>
      </c>
      <c r="G58" t="s">
        <v>14</v>
      </c>
      <c r="H58" t="s">
        <v>38</v>
      </c>
      <c r="I58" t="s">
        <v>79</v>
      </c>
      <c r="J58" s="13">
        <v>2496.4699999999998</v>
      </c>
      <c r="K58" s="36">
        <f ca="1">DATEDIF(personel[[#This Row],[Date de naissance]], TODAY(), "Y")</f>
        <v>59</v>
      </c>
      <c r="L58" s="36">
        <f ca="1">DATEDIF(personel[[#This Row],[Date d''entrée]], TODAY(), "Y")</f>
        <v>6</v>
      </c>
      <c r="M58" s="1">
        <f>(EDATE(personel[[#This Row],[Date d''entrée]], 12))</f>
        <v>44329</v>
      </c>
    </row>
    <row r="59" spans="1:13" x14ac:dyDescent="0.25">
      <c r="A59" t="s">
        <v>182</v>
      </c>
      <c r="B59" t="s">
        <v>183</v>
      </c>
      <c r="C59" t="s">
        <v>184</v>
      </c>
      <c r="D59" s="11" t="s">
        <v>20</v>
      </c>
      <c r="E59" s="1">
        <v>30021</v>
      </c>
      <c r="F59" s="1">
        <v>42751</v>
      </c>
      <c r="G59" t="s">
        <v>30</v>
      </c>
      <c r="H59" t="s">
        <v>15</v>
      </c>
      <c r="I59" t="s">
        <v>16</v>
      </c>
      <c r="J59" s="13">
        <v>2814.47</v>
      </c>
      <c r="K59" s="36">
        <f ca="1">DATEDIF(personel[[#This Row],[Date de naissance]], TODAY(), "Y")</f>
        <v>44</v>
      </c>
      <c r="L59" s="36">
        <f ca="1">DATEDIF(personel[[#This Row],[Date d''entrée]], TODAY(), "Y")</f>
        <v>9</v>
      </c>
      <c r="M59" s="1">
        <f>(EDATE(personel[[#This Row],[Date d''entrée]], 12))</f>
        <v>43116</v>
      </c>
    </row>
    <row r="60" spans="1:13" x14ac:dyDescent="0.25">
      <c r="A60" t="s">
        <v>185</v>
      </c>
      <c r="B60" t="s">
        <v>186</v>
      </c>
      <c r="C60" t="s">
        <v>187</v>
      </c>
      <c r="D60" s="11" t="s">
        <v>13</v>
      </c>
      <c r="E60" s="1">
        <v>29047</v>
      </c>
      <c r="F60" s="1">
        <v>44120</v>
      </c>
      <c r="G60" t="s">
        <v>30</v>
      </c>
      <c r="H60" t="s">
        <v>15</v>
      </c>
      <c r="I60" t="s">
        <v>26</v>
      </c>
      <c r="J60" s="13">
        <v>3198.76</v>
      </c>
      <c r="K60" s="36">
        <f ca="1">DATEDIF(personel[[#This Row],[Date de naissance]], TODAY(), "Y")</f>
        <v>46</v>
      </c>
      <c r="L60" s="36">
        <f ca="1">DATEDIF(personel[[#This Row],[Date d''entrée]], TODAY(), "Y")</f>
        <v>5</v>
      </c>
      <c r="M60" s="1">
        <f>(EDATE(personel[[#This Row],[Date d''entrée]], 12))</f>
        <v>44485</v>
      </c>
    </row>
    <row r="61" spans="1:13" x14ac:dyDescent="0.25">
      <c r="A61" t="s">
        <v>188</v>
      </c>
      <c r="B61" t="s">
        <v>189</v>
      </c>
      <c r="C61" t="s">
        <v>190</v>
      </c>
      <c r="D61" s="11" t="s">
        <v>13</v>
      </c>
      <c r="E61" s="1">
        <v>28120</v>
      </c>
      <c r="F61" s="1">
        <v>42981</v>
      </c>
      <c r="G61" t="s">
        <v>30</v>
      </c>
      <c r="H61" t="s">
        <v>34</v>
      </c>
      <c r="I61" t="s">
        <v>26</v>
      </c>
      <c r="J61" s="13">
        <v>3585.33</v>
      </c>
      <c r="K61" s="36">
        <f ca="1">DATEDIF(personel[[#This Row],[Date de naissance]], TODAY(), "Y")</f>
        <v>49</v>
      </c>
      <c r="L61" s="36">
        <f ca="1">DATEDIF(personel[[#This Row],[Date d''entrée]], TODAY(), "Y")</f>
        <v>8</v>
      </c>
      <c r="M61" s="1">
        <f>(EDATE(personel[[#This Row],[Date d''entrée]], 12))</f>
        <v>43346</v>
      </c>
    </row>
    <row r="62" spans="1:13" x14ac:dyDescent="0.25">
      <c r="A62" t="s">
        <v>191</v>
      </c>
      <c r="B62" t="s">
        <v>192</v>
      </c>
      <c r="C62" t="s">
        <v>91</v>
      </c>
      <c r="D62" s="11" t="s">
        <v>13</v>
      </c>
      <c r="E62" s="1">
        <v>35329</v>
      </c>
      <c r="F62" s="1">
        <v>44984</v>
      </c>
      <c r="G62" t="s">
        <v>42</v>
      </c>
      <c r="H62" t="s">
        <v>21</v>
      </c>
      <c r="I62" t="s">
        <v>26</v>
      </c>
      <c r="J62" s="13">
        <v>2712.5</v>
      </c>
      <c r="K62" s="36">
        <f ca="1">DATEDIF(personel[[#This Row],[Date de naissance]], TODAY(), "Y")</f>
        <v>29</v>
      </c>
      <c r="L62" s="36">
        <f ca="1">DATEDIF(personel[[#This Row],[Date d''entrée]], TODAY(), "Y")</f>
        <v>3</v>
      </c>
      <c r="M62" s="1">
        <f>(EDATE(personel[[#This Row],[Date d''entrée]], 12))</f>
        <v>45349</v>
      </c>
    </row>
    <row r="63" spans="1:13" x14ac:dyDescent="0.25">
      <c r="A63" t="s">
        <v>193</v>
      </c>
      <c r="B63" t="s">
        <v>194</v>
      </c>
      <c r="C63" t="s">
        <v>195</v>
      </c>
      <c r="D63" s="11" t="s">
        <v>13</v>
      </c>
      <c r="E63" s="1">
        <v>25711</v>
      </c>
      <c r="F63" s="1">
        <v>42264</v>
      </c>
      <c r="G63" t="s">
        <v>14</v>
      </c>
      <c r="H63" t="s">
        <v>15</v>
      </c>
      <c r="I63" t="s">
        <v>26</v>
      </c>
      <c r="J63" s="13">
        <v>2888.6</v>
      </c>
      <c r="K63" s="36">
        <f ca="1">DATEDIF(personel[[#This Row],[Date de naissance]], TODAY(), "Y")</f>
        <v>56</v>
      </c>
      <c r="L63" s="36">
        <f ca="1">DATEDIF(personel[[#This Row],[Date d''entrée]], TODAY(), "Y")</f>
        <v>10</v>
      </c>
      <c r="M63" s="1">
        <f>(EDATE(personel[[#This Row],[Date d''entrée]], 12))</f>
        <v>42630</v>
      </c>
    </row>
    <row r="64" spans="1:13" x14ac:dyDescent="0.25">
      <c r="A64" t="s">
        <v>196</v>
      </c>
      <c r="B64" t="s">
        <v>197</v>
      </c>
      <c r="C64" t="s">
        <v>198</v>
      </c>
      <c r="D64" s="11" t="s">
        <v>20</v>
      </c>
      <c r="E64" s="1">
        <v>26977</v>
      </c>
      <c r="F64" s="1">
        <v>44079</v>
      </c>
      <c r="G64" t="s">
        <v>42</v>
      </c>
      <c r="H64" t="s">
        <v>38</v>
      </c>
      <c r="I64" t="s">
        <v>26</v>
      </c>
      <c r="J64" s="13">
        <v>2336.1999999999998</v>
      </c>
      <c r="K64" s="36">
        <f ca="1">DATEDIF(personel[[#This Row],[Date de naissance]], TODAY(), "Y")</f>
        <v>52</v>
      </c>
      <c r="L64" s="36">
        <f ca="1">DATEDIF(personel[[#This Row],[Date d''entrée]], TODAY(), "Y")</f>
        <v>5</v>
      </c>
      <c r="M64" s="1">
        <f>(EDATE(personel[[#This Row],[Date d''entrée]], 12))</f>
        <v>44444</v>
      </c>
    </row>
    <row r="65" spans="1:13" x14ac:dyDescent="0.25">
      <c r="A65" t="s">
        <v>199</v>
      </c>
      <c r="B65" t="s">
        <v>200</v>
      </c>
      <c r="C65" t="s">
        <v>201</v>
      </c>
      <c r="D65" s="11" t="s">
        <v>13</v>
      </c>
      <c r="E65" s="1">
        <v>33917</v>
      </c>
      <c r="F65" s="1">
        <v>42231</v>
      </c>
      <c r="G65" t="s">
        <v>30</v>
      </c>
      <c r="H65" t="s">
        <v>25</v>
      </c>
      <c r="I65" t="s">
        <v>26</v>
      </c>
      <c r="J65" s="13">
        <v>2282.2800000000002</v>
      </c>
      <c r="K65" s="36">
        <f ca="1">DATEDIF(personel[[#This Row],[Date de naissance]], TODAY(), "Y")</f>
        <v>33</v>
      </c>
      <c r="L65" s="36">
        <f ca="1">DATEDIF(personel[[#This Row],[Date d''entrée]], TODAY(), "Y")</f>
        <v>10</v>
      </c>
      <c r="M65" s="1">
        <f>(EDATE(personel[[#This Row],[Date d''entrée]], 12))</f>
        <v>42597</v>
      </c>
    </row>
    <row r="66" spans="1:13" x14ac:dyDescent="0.25">
      <c r="A66" t="s">
        <v>202</v>
      </c>
      <c r="B66" t="s">
        <v>203</v>
      </c>
      <c r="C66" t="s">
        <v>204</v>
      </c>
      <c r="D66" s="11" t="s">
        <v>13</v>
      </c>
      <c r="E66" s="1">
        <v>32427</v>
      </c>
      <c r="F66" s="1">
        <v>42888</v>
      </c>
      <c r="G66" t="s">
        <v>30</v>
      </c>
      <c r="H66" t="s">
        <v>15</v>
      </c>
      <c r="I66" t="s">
        <v>26</v>
      </c>
      <c r="J66" s="13">
        <v>3487.52</v>
      </c>
      <c r="K66" s="36">
        <f ca="1">DATEDIF(personel[[#This Row],[Date de naissance]], TODAY(), "Y")</f>
        <v>37</v>
      </c>
      <c r="L66" s="36">
        <f ca="1">DATEDIF(personel[[#This Row],[Date d''entrée]], TODAY(), "Y")</f>
        <v>8</v>
      </c>
      <c r="M66" s="1">
        <f>(EDATE(personel[[#This Row],[Date d''entrée]], 12))</f>
        <v>43253</v>
      </c>
    </row>
    <row r="67" spans="1:13" x14ac:dyDescent="0.25">
      <c r="A67" t="s">
        <v>205</v>
      </c>
      <c r="B67" t="s">
        <v>54</v>
      </c>
      <c r="C67" t="s">
        <v>206</v>
      </c>
      <c r="D67" s="11" t="s">
        <v>20</v>
      </c>
      <c r="E67" s="1">
        <v>32267</v>
      </c>
      <c r="F67" s="1">
        <v>44428</v>
      </c>
      <c r="G67" t="s">
        <v>14</v>
      </c>
      <c r="H67" t="s">
        <v>25</v>
      </c>
      <c r="I67" t="s">
        <v>16</v>
      </c>
      <c r="J67" s="13">
        <v>3813.74</v>
      </c>
      <c r="K67" s="36">
        <f ca="1">DATEDIF(personel[[#This Row],[Date de naissance]], TODAY(), "Y")</f>
        <v>38</v>
      </c>
      <c r="L67" s="36">
        <f ca="1">DATEDIF(personel[[#This Row],[Date d''entrée]], TODAY(), "Y")</f>
        <v>4</v>
      </c>
      <c r="M67" s="1">
        <f>(EDATE(personel[[#This Row],[Date d''entrée]], 12))</f>
        <v>44793</v>
      </c>
    </row>
    <row r="68" spans="1:13" x14ac:dyDescent="0.25">
      <c r="A68" t="s">
        <v>207</v>
      </c>
      <c r="B68" t="s">
        <v>208</v>
      </c>
      <c r="C68" t="s">
        <v>209</v>
      </c>
      <c r="D68" s="11" t="s">
        <v>20</v>
      </c>
      <c r="E68" s="1">
        <v>24633</v>
      </c>
      <c r="F68" s="1">
        <v>44986</v>
      </c>
      <c r="G68" t="s">
        <v>42</v>
      </c>
      <c r="H68" t="s">
        <v>25</v>
      </c>
      <c r="I68" t="s">
        <v>16</v>
      </c>
      <c r="J68" s="13">
        <v>2956.79</v>
      </c>
      <c r="K68" s="36">
        <f ca="1">DATEDIF(personel[[#This Row],[Date de naissance]], TODAY(), "Y")</f>
        <v>58</v>
      </c>
      <c r="L68" s="36">
        <f ca="1">DATEDIF(personel[[#This Row],[Date d''entrée]], TODAY(), "Y")</f>
        <v>3</v>
      </c>
      <c r="M68" s="1">
        <f>(EDATE(personel[[#This Row],[Date d''entrée]], 12))</f>
        <v>45352</v>
      </c>
    </row>
    <row r="69" spans="1:13" x14ac:dyDescent="0.25">
      <c r="A69" t="s">
        <v>210</v>
      </c>
      <c r="B69" t="s">
        <v>71</v>
      </c>
      <c r="C69" t="s">
        <v>211</v>
      </c>
      <c r="D69" s="11" t="s">
        <v>13</v>
      </c>
      <c r="E69" s="1">
        <v>24636</v>
      </c>
      <c r="F69" s="1">
        <v>42920</v>
      </c>
      <c r="G69" t="s">
        <v>30</v>
      </c>
      <c r="H69" t="s">
        <v>25</v>
      </c>
      <c r="I69" t="s">
        <v>16</v>
      </c>
      <c r="J69" s="13">
        <v>3602.12</v>
      </c>
      <c r="K69" s="36">
        <f ca="1">DATEDIF(personel[[#This Row],[Date de naissance]], TODAY(), "Y")</f>
        <v>58</v>
      </c>
      <c r="L69" s="36">
        <f ca="1">DATEDIF(personel[[#This Row],[Date d''entrée]], TODAY(), "Y")</f>
        <v>8</v>
      </c>
      <c r="M69" s="1">
        <f>(EDATE(personel[[#This Row],[Date d''entrée]], 12))</f>
        <v>43285</v>
      </c>
    </row>
    <row r="70" spans="1:13" x14ac:dyDescent="0.25">
      <c r="A70" t="s">
        <v>212</v>
      </c>
      <c r="B70" t="s">
        <v>213</v>
      </c>
      <c r="C70" t="s">
        <v>198</v>
      </c>
      <c r="D70" s="11" t="s">
        <v>20</v>
      </c>
      <c r="E70" s="1">
        <v>24446</v>
      </c>
      <c r="F70" s="1">
        <v>44856</v>
      </c>
      <c r="G70" t="s">
        <v>30</v>
      </c>
      <c r="H70" t="s">
        <v>21</v>
      </c>
      <c r="I70" t="s">
        <v>26</v>
      </c>
      <c r="J70" s="13">
        <v>3216.98</v>
      </c>
      <c r="K70" s="36">
        <f ca="1">DATEDIF(personel[[#This Row],[Date de naissance]], TODAY(), "Y")</f>
        <v>59</v>
      </c>
      <c r="L70" s="36">
        <f ca="1">DATEDIF(personel[[#This Row],[Date d''entrée]], TODAY(), "Y")</f>
        <v>3</v>
      </c>
      <c r="M70" s="1">
        <f>(EDATE(personel[[#This Row],[Date d''entrée]], 12))</f>
        <v>45221</v>
      </c>
    </row>
    <row r="71" spans="1:13" x14ac:dyDescent="0.25">
      <c r="A71" t="s">
        <v>214</v>
      </c>
      <c r="B71" t="s">
        <v>215</v>
      </c>
      <c r="C71" t="s">
        <v>216</v>
      </c>
      <c r="D71" s="11" t="s">
        <v>20</v>
      </c>
      <c r="E71" s="1">
        <v>35272</v>
      </c>
      <c r="F71" s="1">
        <v>45292</v>
      </c>
      <c r="G71" t="s">
        <v>14</v>
      </c>
      <c r="H71" t="s">
        <v>34</v>
      </c>
      <c r="I71" t="s">
        <v>26</v>
      </c>
      <c r="J71" s="13">
        <v>2612.9299999999998</v>
      </c>
      <c r="K71" s="36">
        <f ca="1">DATEDIF(personel[[#This Row],[Date de naissance]], TODAY(), "Y")</f>
        <v>29</v>
      </c>
      <c r="L71" s="36">
        <f ca="1">DATEDIF(personel[[#This Row],[Date d''entrée]], TODAY(), "Y")</f>
        <v>2</v>
      </c>
      <c r="M71" s="1">
        <f>(EDATE(personel[[#This Row],[Date d''entrée]], 12))</f>
        <v>45658</v>
      </c>
    </row>
    <row r="72" spans="1:13" x14ac:dyDescent="0.25">
      <c r="A72" t="s">
        <v>217</v>
      </c>
      <c r="B72" t="s">
        <v>218</v>
      </c>
      <c r="C72" t="s">
        <v>219</v>
      </c>
      <c r="D72" s="11" t="s">
        <v>20</v>
      </c>
      <c r="E72" s="1">
        <v>31819</v>
      </c>
      <c r="F72" s="1">
        <v>43412</v>
      </c>
      <c r="G72" t="s">
        <v>14</v>
      </c>
      <c r="H72" t="s">
        <v>15</v>
      </c>
      <c r="I72" t="s">
        <v>79</v>
      </c>
      <c r="J72" s="13">
        <v>3216.84</v>
      </c>
      <c r="K72" s="36">
        <f ca="1">DATEDIF(personel[[#This Row],[Date de naissance]], TODAY(), "Y")</f>
        <v>39</v>
      </c>
      <c r="L72" s="36">
        <f ca="1">DATEDIF(personel[[#This Row],[Date d''entrée]], TODAY(), "Y")</f>
        <v>7</v>
      </c>
      <c r="M72" s="1">
        <f>(EDATE(personel[[#This Row],[Date d''entrée]], 12))</f>
        <v>43777</v>
      </c>
    </row>
    <row r="73" spans="1:13" x14ac:dyDescent="0.25">
      <c r="A73" t="s">
        <v>220</v>
      </c>
      <c r="B73" t="s">
        <v>221</v>
      </c>
      <c r="C73" t="s">
        <v>222</v>
      </c>
      <c r="D73" s="11" t="s">
        <v>20</v>
      </c>
      <c r="E73" s="1">
        <v>28592</v>
      </c>
      <c r="F73" s="1">
        <v>45462</v>
      </c>
      <c r="G73" t="s">
        <v>30</v>
      </c>
      <c r="H73" t="s">
        <v>38</v>
      </c>
      <c r="I73" t="s">
        <v>26</v>
      </c>
      <c r="J73" s="13">
        <v>3922.82</v>
      </c>
      <c r="K73" s="36">
        <f ca="1">DATEDIF(personel[[#This Row],[Date de naissance]], TODAY(), "Y")</f>
        <v>48</v>
      </c>
      <c r="L73" s="36">
        <f ca="1">DATEDIF(personel[[#This Row],[Date d''entrée]], TODAY(), "Y")</f>
        <v>1</v>
      </c>
      <c r="M73" s="1">
        <f>(EDATE(personel[[#This Row],[Date d''entrée]], 12))</f>
        <v>45827</v>
      </c>
    </row>
    <row r="74" spans="1:13" x14ac:dyDescent="0.25">
      <c r="A74" t="s">
        <v>223</v>
      </c>
      <c r="B74" t="s">
        <v>189</v>
      </c>
      <c r="C74" t="s">
        <v>224</v>
      </c>
      <c r="D74" s="11" t="s">
        <v>20</v>
      </c>
      <c r="E74" s="1">
        <v>37821</v>
      </c>
      <c r="F74" s="1">
        <v>43173</v>
      </c>
      <c r="G74" t="s">
        <v>14</v>
      </c>
      <c r="H74" t="s">
        <v>25</v>
      </c>
      <c r="I74" t="s">
        <v>16</v>
      </c>
      <c r="J74" s="13">
        <v>2978.5</v>
      </c>
      <c r="K74" s="36">
        <f ca="1">DATEDIF(personel[[#This Row],[Date de naissance]], TODAY(), "Y")</f>
        <v>22</v>
      </c>
      <c r="L74" s="36">
        <f ca="1">DATEDIF(personel[[#This Row],[Date d''entrée]], TODAY(), "Y")</f>
        <v>8</v>
      </c>
      <c r="M74" s="1">
        <f>(EDATE(personel[[#This Row],[Date d''entrée]], 12))</f>
        <v>43538</v>
      </c>
    </row>
    <row r="75" spans="1:13" x14ac:dyDescent="0.25">
      <c r="A75" t="s">
        <v>225</v>
      </c>
      <c r="B75" t="s">
        <v>71</v>
      </c>
      <c r="C75" t="s">
        <v>226</v>
      </c>
      <c r="D75" s="11" t="s">
        <v>20</v>
      </c>
      <c r="E75" s="1">
        <v>24788</v>
      </c>
      <c r="F75" s="1">
        <v>45587</v>
      </c>
      <c r="G75" t="s">
        <v>42</v>
      </c>
      <c r="H75" t="s">
        <v>34</v>
      </c>
      <c r="I75" t="s">
        <v>26</v>
      </c>
      <c r="J75" s="13">
        <v>3938.79</v>
      </c>
      <c r="K75" s="36">
        <f ca="1">DATEDIF(personel[[#This Row],[Date de naissance]], TODAY(), "Y")</f>
        <v>58</v>
      </c>
      <c r="L75" s="36">
        <f ca="1">DATEDIF(personel[[#This Row],[Date d''entrée]], TODAY(), "Y")</f>
        <v>1</v>
      </c>
      <c r="M75" s="1">
        <f>(EDATE(personel[[#This Row],[Date d''entrée]], 12))</f>
        <v>45952</v>
      </c>
    </row>
    <row r="76" spans="1:13" x14ac:dyDescent="0.25">
      <c r="A76" t="s">
        <v>227</v>
      </c>
      <c r="B76" t="s">
        <v>156</v>
      </c>
      <c r="C76" t="s">
        <v>195</v>
      </c>
      <c r="D76" s="11" t="s">
        <v>20</v>
      </c>
      <c r="E76" s="1">
        <v>33413</v>
      </c>
      <c r="F76" s="1">
        <v>44765</v>
      </c>
      <c r="G76" t="s">
        <v>30</v>
      </c>
      <c r="H76" t="s">
        <v>38</v>
      </c>
      <c r="I76" t="s">
        <v>26</v>
      </c>
      <c r="J76" s="13">
        <v>1800</v>
      </c>
      <c r="K76" s="36">
        <f ca="1">DATEDIF(personel[[#This Row],[Date de naissance]], TODAY(), "Y")</f>
        <v>34</v>
      </c>
      <c r="L76" s="36">
        <f ca="1">DATEDIF(personel[[#This Row],[Date d''entrée]], TODAY(), "Y")</f>
        <v>3</v>
      </c>
      <c r="M76" s="1">
        <f>(EDATE(personel[[#This Row],[Date d''entrée]], 12))</f>
        <v>45130</v>
      </c>
    </row>
    <row r="77" spans="1:13" x14ac:dyDescent="0.25">
      <c r="A77" t="s">
        <v>228</v>
      </c>
      <c r="B77" t="s">
        <v>229</v>
      </c>
      <c r="C77" t="s">
        <v>230</v>
      </c>
      <c r="D77" s="11" t="s">
        <v>13</v>
      </c>
      <c r="E77" s="1">
        <v>35476</v>
      </c>
      <c r="F77" s="1">
        <v>45238</v>
      </c>
      <c r="G77" t="s">
        <v>42</v>
      </c>
      <c r="H77" t="s">
        <v>25</v>
      </c>
      <c r="I77" t="s">
        <v>26</v>
      </c>
      <c r="J77" s="13">
        <v>3493.14</v>
      </c>
      <c r="K77" s="36">
        <f ca="1">DATEDIF(personel[[#This Row],[Date de naissance]], TODAY(), "Y")</f>
        <v>29</v>
      </c>
      <c r="L77" s="36">
        <f ca="1">DATEDIF(personel[[#This Row],[Date d''entrée]], TODAY(), "Y")</f>
        <v>2</v>
      </c>
      <c r="M77" s="1">
        <f>(EDATE(personel[[#This Row],[Date d''entrée]], 12))</f>
        <v>45604</v>
      </c>
    </row>
    <row r="78" spans="1:13" x14ac:dyDescent="0.25">
      <c r="A78" t="s">
        <v>231</v>
      </c>
      <c r="B78" t="s">
        <v>232</v>
      </c>
      <c r="C78" t="s">
        <v>233</v>
      </c>
      <c r="D78" s="11" t="s">
        <v>13</v>
      </c>
      <c r="E78" s="1">
        <v>36177</v>
      </c>
      <c r="F78" s="1">
        <v>44383</v>
      </c>
      <c r="G78" t="s">
        <v>14</v>
      </c>
      <c r="H78" t="s">
        <v>25</v>
      </c>
      <c r="I78" t="s">
        <v>26</v>
      </c>
      <c r="J78" s="13">
        <v>3052.23</v>
      </c>
      <c r="K78" s="36">
        <f ca="1">DATEDIF(personel[[#This Row],[Date de naissance]], TODAY(), "Y")</f>
        <v>27</v>
      </c>
      <c r="L78" s="36">
        <f ca="1">DATEDIF(personel[[#This Row],[Date d''entrée]], TODAY(), "Y")</f>
        <v>4</v>
      </c>
      <c r="M78" s="1">
        <f>(EDATE(personel[[#This Row],[Date d''entrée]], 12))</f>
        <v>44748</v>
      </c>
    </row>
    <row r="79" spans="1:13" x14ac:dyDescent="0.25">
      <c r="A79" t="s">
        <v>234</v>
      </c>
      <c r="B79" t="s">
        <v>235</v>
      </c>
      <c r="C79" t="s">
        <v>236</v>
      </c>
      <c r="D79" s="11" t="s">
        <v>20</v>
      </c>
      <c r="E79" s="1">
        <v>24409</v>
      </c>
      <c r="F79" s="1">
        <v>44247</v>
      </c>
      <c r="G79" t="s">
        <v>30</v>
      </c>
      <c r="H79" t="s">
        <v>15</v>
      </c>
      <c r="I79" t="s">
        <v>26</v>
      </c>
      <c r="J79" s="13">
        <v>2820.6</v>
      </c>
      <c r="K79" s="36">
        <f ca="1">DATEDIF(personel[[#This Row],[Date de naissance]], TODAY(), "Y")</f>
        <v>59</v>
      </c>
      <c r="L79" s="36">
        <f ca="1">DATEDIF(personel[[#This Row],[Date d''entrée]], TODAY(), "Y")</f>
        <v>5</v>
      </c>
      <c r="M79" s="1">
        <f>(EDATE(personel[[#This Row],[Date d''entrée]], 12))</f>
        <v>44612</v>
      </c>
    </row>
    <row r="80" spans="1:13" x14ac:dyDescent="0.25">
      <c r="A80" t="s">
        <v>237</v>
      </c>
      <c r="B80" t="s">
        <v>139</v>
      </c>
      <c r="C80" t="s">
        <v>132</v>
      </c>
      <c r="D80" s="11" t="s">
        <v>20</v>
      </c>
      <c r="E80" s="1">
        <v>24891</v>
      </c>
      <c r="F80" s="1">
        <v>43780</v>
      </c>
      <c r="G80" t="s">
        <v>14</v>
      </c>
      <c r="H80" t="s">
        <v>15</v>
      </c>
      <c r="I80" t="s">
        <v>26</v>
      </c>
      <c r="J80" s="13">
        <v>3055.06</v>
      </c>
      <c r="K80" s="36">
        <f ca="1">DATEDIF(personel[[#This Row],[Date de naissance]], TODAY(), "Y")</f>
        <v>58</v>
      </c>
      <c r="L80" s="36">
        <f ca="1">DATEDIF(personel[[#This Row],[Date d''entrée]], TODAY(), "Y")</f>
        <v>6</v>
      </c>
      <c r="M80" s="1">
        <f>(EDATE(personel[[#This Row],[Date d''entrée]], 12))</f>
        <v>44146</v>
      </c>
    </row>
    <row r="81" spans="1:13" x14ac:dyDescent="0.25">
      <c r="A81" t="s">
        <v>238</v>
      </c>
      <c r="B81" t="s">
        <v>239</v>
      </c>
      <c r="C81" t="s">
        <v>204</v>
      </c>
      <c r="D81" s="11" t="s">
        <v>20</v>
      </c>
      <c r="E81" s="1">
        <v>22995</v>
      </c>
      <c r="F81" s="1">
        <v>43537</v>
      </c>
      <c r="G81" t="s">
        <v>42</v>
      </c>
      <c r="H81" t="s">
        <v>21</v>
      </c>
      <c r="I81" t="s">
        <v>26</v>
      </c>
      <c r="J81" s="13">
        <v>1807.46</v>
      </c>
      <c r="K81" s="36">
        <f ca="1">DATEDIF(personel[[#This Row],[Date de naissance]], TODAY(), "Y")</f>
        <v>63</v>
      </c>
      <c r="L81" s="36">
        <f ca="1">DATEDIF(personel[[#This Row],[Date d''entrée]], TODAY(), "Y")</f>
        <v>7</v>
      </c>
      <c r="M81" s="1">
        <f>(EDATE(personel[[#This Row],[Date d''entrée]], 12))</f>
        <v>43903</v>
      </c>
    </row>
    <row r="82" spans="1:13" x14ac:dyDescent="0.25">
      <c r="A82" t="s">
        <v>240</v>
      </c>
      <c r="B82" t="s">
        <v>241</v>
      </c>
      <c r="C82" t="s">
        <v>242</v>
      </c>
      <c r="D82" s="11" t="s">
        <v>20</v>
      </c>
      <c r="E82" s="1">
        <v>27448</v>
      </c>
      <c r="F82" s="1">
        <v>43449</v>
      </c>
      <c r="G82" t="s">
        <v>30</v>
      </c>
      <c r="H82" t="s">
        <v>34</v>
      </c>
      <c r="I82" t="s">
        <v>26</v>
      </c>
      <c r="J82" s="13">
        <v>2868.2</v>
      </c>
      <c r="K82" s="36">
        <f ca="1">DATEDIF(personel[[#This Row],[Date de naissance]], TODAY(), "Y")</f>
        <v>51</v>
      </c>
      <c r="L82" s="36">
        <f ca="1">DATEDIF(personel[[#This Row],[Date d''entrée]], TODAY(), "Y")</f>
        <v>7</v>
      </c>
      <c r="M82" s="1">
        <f>(EDATE(personel[[#This Row],[Date d''entrée]], 12))</f>
        <v>43814</v>
      </c>
    </row>
    <row r="83" spans="1:13" x14ac:dyDescent="0.25">
      <c r="A83" t="s">
        <v>243</v>
      </c>
      <c r="B83" t="s">
        <v>244</v>
      </c>
      <c r="C83" t="s">
        <v>245</v>
      </c>
      <c r="D83" s="11" t="s">
        <v>13</v>
      </c>
      <c r="E83" s="1">
        <v>25844</v>
      </c>
      <c r="F83" s="1">
        <v>45320</v>
      </c>
      <c r="G83" t="s">
        <v>42</v>
      </c>
      <c r="H83" t="s">
        <v>49</v>
      </c>
      <c r="I83" t="s">
        <v>79</v>
      </c>
      <c r="J83" s="13">
        <v>3214.27</v>
      </c>
      <c r="K83" s="36">
        <f ca="1">DATEDIF(personel[[#This Row],[Date de naissance]], TODAY(), "Y")</f>
        <v>55</v>
      </c>
      <c r="L83" s="36">
        <f ca="1">DATEDIF(personel[[#This Row],[Date d''entrée]], TODAY(), "Y")</f>
        <v>2</v>
      </c>
      <c r="M83" s="1">
        <f>(EDATE(personel[[#This Row],[Date d''entrée]], 12))</f>
        <v>45686</v>
      </c>
    </row>
    <row r="84" spans="1:13" x14ac:dyDescent="0.25">
      <c r="A84" t="s">
        <v>246</v>
      </c>
      <c r="B84" t="s">
        <v>247</v>
      </c>
      <c r="C84" t="s">
        <v>248</v>
      </c>
      <c r="D84" s="11" t="s">
        <v>13</v>
      </c>
      <c r="E84" s="1">
        <v>29410</v>
      </c>
      <c r="F84" s="1">
        <v>44655</v>
      </c>
      <c r="G84" t="s">
        <v>30</v>
      </c>
      <c r="H84" t="s">
        <v>25</v>
      </c>
      <c r="I84" t="s">
        <v>26</v>
      </c>
      <c r="J84" s="13">
        <v>3886.74</v>
      </c>
      <c r="K84" s="36">
        <f ca="1">DATEDIF(personel[[#This Row],[Date de naissance]], TODAY(), "Y")</f>
        <v>45</v>
      </c>
      <c r="L84" s="36">
        <f ca="1">DATEDIF(personel[[#This Row],[Date d''entrée]], TODAY(), "Y")</f>
        <v>4</v>
      </c>
      <c r="M84" s="1">
        <f>(EDATE(personel[[#This Row],[Date d''entrée]], 12))</f>
        <v>45020</v>
      </c>
    </row>
    <row r="85" spans="1:13" x14ac:dyDescent="0.25">
      <c r="A85" t="s">
        <v>249</v>
      </c>
      <c r="B85" t="s">
        <v>250</v>
      </c>
      <c r="C85" t="s">
        <v>251</v>
      </c>
      <c r="D85" s="11" t="s">
        <v>20</v>
      </c>
      <c r="E85" s="1">
        <v>34578</v>
      </c>
      <c r="F85" s="1">
        <v>43019</v>
      </c>
      <c r="G85" t="s">
        <v>30</v>
      </c>
      <c r="H85" t="s">
        <v>21</v>
      </c>
      <c r="I85" t="s">
        <v>79</v>
      </c>
      <c r="J85" s="13">
        <v>2689.04</v>
      </c>
      <c r="K85" s="36">
        <f ca="1">DATEDIF(personel[[#This Row],[Date de naissance]], TODAY(), "Y")</f>
        <v>31</v>
      </c>
      <c r="L85" s="36">
        <f ca="1">DATEDIF(personel[[#This Row],[Date d''entrée]], TODAY(), "Y")</f>
        <v>8</v>
      </c>
      <c r="M85" s="1">
        <f>(EDATE(personel[[#This Row],[Date d''entrée]], 12))</f>
        <v>43384</v>
      </c>
    </row>
    <row r="86" spans="1:13" x14ac:dyDescent="0.25">
      <c r="A86" t="s">
        <v>252</v>
      </c>
      <c r="B86" t="s">
        <v>253</v>
      </c>
      <c r="C86" t="s">
        <v>254</v>
      </c>
      <c r="D86" s="11" t="s">
        <v>13</v>
      </c>
      <c r="E86" s="1">
        <v>33340</v>
      </c>
      <c r="F86" s="1">
        <v>45808</v>
      </c>
      <c r="G86" t="s">
        <v>30</v>
      </c>
      <c r="H86" t="s">
        <v>15</v>
      </c>
      <c r="I86" t="s">
        <v>26</v>
      </c>
      <c r="J86" s="13">
        <v>2514.9</v>
      </c>
      <c r="K86" s="36">
        <f ca="1">DATEDIF(personel[[#This Row],[Date de naissance]], TODAY(), "Y")</f>
        <v>35</v>
      </c>
      <c r="L86" s="36">
        <f ca="1">DATEDIF(personel[[#This Row],[Date d''entrée]], TODAY(), "Y")</f>
        <v>0</v>
      </c>
      <c r="M86" s="1">
        <f>(EDATE(personel[[#This Row],[Date d''entrée]], 12))</f>
        <v>46173</v>
      </c>
    </row>
    <row r="87" spans="1:13" x14ac:dyDescent="0.25">
      <c r="A87" t="s">
        <v>255</v>
      </c>
      <c r="B87" t="s">
        <v>256</v>
      </c>
      <c r="C87" t="s">
        <v>257</v>
      </c>
      <c r="D87" s="11" t="s">
        <v>13</v>
      </c>
      <c r="E87" s="1">
        <v>36169</v>
      </c>
      <c r="F87" s="1">
        <v>43804</v>
      </c>
      <c r="G87" t="s">
        <v>42</v>
      </c>
      <c r="H87" t="s">
        <v>25</v>
      </c>
      <c r="I87" t="s">
        <v>26</v>
      </c>
      <c r="J87" s="13">
        <v>2698.95</v>
      </c>
      <c r="K87" s="36">
        <f ca="1">DATEDIF(personel[[#This Row],[Date de naissance]], TODAY(), "Y")</f>
        <v>27</v>
      </c>
      <c r="L87" s="36">
        <f ca="1">DATEDIF(personel[[#This Row],[Date d''entrée]], TODAY(), "Y")</f>
        <v>6</v>
      </c>
      <c r="M87" s="1">
        <f>(EDATE(personel[[#This Row],[Date d''entrée]], 12))</f>
        <v>44170</v>
      </c>
    </row>
    <row r="88" spans="1:13" x14ac:dyDescent="0.25">
      <c r="A88" t="s">
        <v>258</v>
      </c>
      <c r="B88" t="s">
        <v>259</v>
      </c>
      <c r="C88" t="s">
        <v>260</v>
      </c>
      <c r="D88" s="11" t="s">
        <v>20</v>
      </c>
      <c r="E88" s="1">
        <v>26379</v>
      </c>
      <c r="F88" s="1">
        <v>45266</v>
      </c>
      <c r="G88" t="s">
        <v>14</v>
      </c>
      <c r="H88" t="s">
        <v>38</v>
      </c>
      <c r="I88" t="s">
        <v>26</v>
      </c>
      <c r="J88" s="13">
        <v>3549.24</v>
      </c>
      <c r="K88" s="36">
        <f ca="1">DATEDIF(personel[[#This Row],[Date de naissance]], TODAY(), "Y")</f>
        <v>54</v>
      </c>
      <c r="L88" s="36">
        <f ca="1">DATEDIF(personel[[#This Row],[Date d''entrée]], TODAY(), "Y")</f>
        <v>2</v>
      </c>
      <c r="M88" s="1">
        <f>(EDATE(personel[[#This Row],[Date d''entrée]], 12))</f>
        <v>45632</v>
      </c>
    </row>
    <row r="89" spans="1:13" x14ac:dyDescent="0.25">
      <c r="A89" t="s">
        <v>261</v>
      </c>
      <c r="B89" t="s">
        <v>262</v>
      </c>
      <c r="C89" t="s">
        <v>82</v>
      </c>
      <c r="D89" s="11" t="s">
        <v>13</v>
      </c>
      <c r="E89" s="1">
        <v>36744</v>
      </c>
      <c r="F89" s="1">
        <v>45750</v>
      </c>
      <c r="G89" t="s">
        <v>30</v>
      </c>
      <c r="H89" t="s">
        <v>15</v>
      </c>
      <c r="I89" t="s">
        <v>26</v>
      </c>
      <c r="J89" s="13">
        <v>3197.25</v>
      </c>
      <c r="K89" s="36">
        <f ca="1">DATEDIF(personel[[#This Row],[Date de naissance]], TODAY(), "Y")</f>
        <v>25</v>
      </c>
      <c r="L89" s="36">
        <f ca="1">DATEDIF(personel[[#This Row],[Date d''entrée]], TODAY(), "Y")</f>
        <v>1</v>
      </c>
      <c r="M89" s="1">
        <f>(EDATE(personel[[#This Row],[Date d''entrée]], 12))</f>
        <v>46115</v>
      </c>
    </row>
    <row r="90" spans="1:13" x14ac:dyDescent="0.25">
      <c r="A90" t="s">
        <v>263</v>
      </c>
      <c r="B90" t="s">
        <v>232</v>
      </c>
      <c r="C90" t="s">
        <v>264</v>
      </c>
      <c r="D90" s="11" t="s">
        <v>13</v>
      </c>
      <c r="E90" s="1">
        <v>31365</v>
      </c>
      <c r="F90" s="1">
        <v>44420</v>
      </c>
      <c r="G90" t="s">
        <v>14</v>
      </c>
      <c r="H90" t="s">
        <v>49</v>
      </c>
      <c r="I90" t="s">
        <v>26</v>
      </c>
      <c r="J90" s="13">
        <v>2682.14</v>
      </c>
      <c r="K90" s="36">
        <f ca="1">DATEDIF(personel[[#This Row],[Date de naissance]], TODAY(), "Y")</f>
        <v>40</v>
      </c>
      <c r="L90" s="36">
        <f ca="1">DATEDIF(personel[[#This Row],[Date d''entrée]], TODAY(), "Y")</f>
        <v>4</v>
      </c>
      <c r="M90" s="1">
        <f>(EDATE(personel[[#This Row],[Date d''entrée]], 12))</f>
        <v>44785</v>
      </c>
    </row>
    <row r="91" spans="1:13" x14ac:dyDescent="0.25">
      <c r="A91" t="s">
        <v>265</v>
      </c>
      <c r="B91" t="s">
        <v>107</v>
      </c>
      <c r="C91" t="s">
        <v>266</v>
      </c>
      <c r="D91" s="11" t="s">
        <v>13</v>
      </c>
      <c r="E91" s="1">
        <v>35513</v>
      </c>
      <c r="F91" s="1">
        <v>45815</v>
      </c>
      <c r="G91" t="s">
        <v>30</v>
      </c>
      <c r="H91" t="s">
        <v>38</v>
      </c>
      <c r="I91" t="s">
        <v>16</v>
      </c>
      <c r="J91" s="13">
        <v>3307.96</v>
      </c>
      <c r="K91" s="36">
        <f ca="1">DATEDIF(personel[[#This Row],[Date de naissance]], TODAY(), "Y")</f>
        <v>29</v>
      </c>
      <c r="L91" s="36">
        <f ca="1">DATEDIF(personel[[#This Row],[Date d''entrée]], TODAY(), "Y")</f>
        <v>0</v>
      </c>
      <c r="M91" s="1">
        <f>(EDATE(personel[[#This Row],[Date d''entrée]], 12))</f>
        <v>46180</v>
      </c>
    </row>
    <row r="92" spans="1:13" x14ac:dyDescent="0.25">
      <c r="A92" t="s">
        <v>267</v>
      </c>
      <c r="B92" t="s">
        <v>153</v>
      </c>
      <c r="C92" t="s">
        <v>268</v>
      </c>
      <c r="D92" s="11" t="s">
        <v>13</v>
      </c>
      <c r="E92" s="1">
        <v>37992</v>
      </c>
      <c r="F92" s="1">
        <v>42735</v>
      </c>
      <c r="G92" t="s">
        <v>42</v>
      </c>
      <c r="H92" t="s">
        <v>49</v>
      </c>
      <c r="I92" t="s">
        <v>26</v>
      </c>
      <c r="J92" s="13">
        <v>3058.25</v>
      </c>
      <c r="K92" s="36">
        <f ca="1">DATEDIF(personel[[#This Row],[Date de naissance]], TODAY(), "Y")</f>
        <v>22</v>
      </c>
      <c r="L92" s="36">
        <f ca="1">DATEDIF(personel[[#This Row],[Date d''entrée]], TODAY(), "Y")</f>
        <v>9</v>
      </c>
      <c r="M92" s="1">
        <f>(EDATE(personel[[#This Row],[Date d''entrée]], 12))</f>
        <v>43100</v>
      </c>
    </row>
    <row r="93" spans="1:13" x14ac:dyDescent="0.25">
      <c r="A93" t="s">
        <v>269</v>
      </c>
      <c r="B93" t="s">
        <v>77</v>
      </c>
      <c r="C93" t="s">
        <v>24</v>
      </c>
      <c r="D93" s="11" t="s">
        <v>13</v>
      </c>
      <c r="E93" s="1">
        <v>23249</v>
      </c>
      <c r="F93" s="1">
        <v>45504</v>
      </c>
      <c r="G93" t="s">
        <v>42</v>
      </c>
      <c r="H93" t="s">
        <v>25</v>
      </c>
      <c r="I93" t="s">
        <v>26</v>
      </c>
      <c r="J93" s="13">
        <v>3581.19</v>
      </c>
      <c r="K93" s="36">
        <f ca="1">DATEDIF(personel[[#This Row],[Date de naissance]], TODAY(), "Y")</f>
        <v>62</v>
      </c>
      <c r="L93" s="36">
        <f ca="1">DATEDIF(personel[[#This Row],[Date d''entrée]], TODAY(), "Y")</f>
        <v>1</v>
      </c>
      <c r="M93" s="1">
        <f>(EDATE(personel[[#This Row],[Date d''entrée]], 12))</f>
        <v>45869</v>
      </c>
    </row>
    <row r="94" spans="1:13" x14ac:dyDescent="0.25">
      <c r="A94" t="s">
        <v>270</v>
      </c>
      <c r="B94" t="s">
        <v>271</v>
      </c>
      <c r="C94" t="s">
        <v>272</v>
      </c>
      <c r="D94" s="11" t="s">
        <v>20</v>
      </c>
      <c r="E94" s="1">
        <v>28558</v>
      </c>
      <c r="F94" s="1">
        <v>42508</v>
      </c>
      <c r="G94" t="s">
        <v>30</v>
      </c>
      <c r="H94" t="s">
        <v>34</v>
      </c>
      <c r="I94" t="s">
        <v>26</v>
      </c>
      <c r="J94" s="13">
        <v>2578.77</v>
      </c>
      <c r="K94" s="36">
        <f ca="1">DATEDIF(personel[[#This Row],[Date de naissance]], TODAY(), "Y")</f>
        <v>48</v>
      </c>
      <c r="L94" s="36">
        <f ca="1">DATEDIF(personel[[#This Row],[Date d''entrée]], TODAY(), "Y")</f>
        <v>10</v>
      </c>
      <c r="M94" s="1">
        <f>(EDATE(personel[[#This Row],[Date d''entrée]], 12))</f>
        <v>42873</v>
      </c>
    </row>
    <row r="95" spans="1:13" x14ac:dyDescent="0.25">
      <c r="A95" t="s">
        <v>273</v>
      </c>
      <c r="B95" t="s">
        <v>274</v>
      </c>
      <c r="C95" t="s">
        <v>254</v>
      </c>
      <c r="D95" s="11" t="s">
        <v>13</v>
      </c>
      <c r="E95" s="1">
        <v>23727</v>
      </c>
      <c r="F95" s="1">
        <v>45547</v>
      </c>
      <c r="G95" t="s">
        <v>30</v>
      </c>
      <c r="H95" t="s">
        <v>49</v>
      </c>
      <c r="I95" t="s">
        <v>16</v>
      </c>
      <c r="J95" s="13">
        <v>2803.4</v>
      </c>
      <c r="K95" s="36">
        <f ca="1">DATEDIF(personel[[#This Row],[Date de naissance]], TODAY(), "Y")</f>
        <v>61</v>
      </c>
      <c r="L95" s="36">
        <f ca="1">DATEDIF(personel[[#This Row],[Date d''entrée]], TODAY(), "Y")</f>
        <v>1</v>
      </c>
      <c r="M95" s="1">
        <f>(EDATE(personel[[#This Row],[Date d''entrée]], 12))</f>
        <v>45912</v>
      </c>
    </row>
    <row r="96" spans="1:13" x14ac:dyDescent="0.25">
      <c r="A96" t="s">
        <v>275</v>
      </c>
      <c r="B96" t="s">
        <v>276</v>
      </c>
      <c r="C96" t="s">
        <v>168</v>
      </c>
      <c r="D96" s="11" t="s">
        <v>13</v>
      </c>
      <c r="E96" s="1">
        <v>26908</v>
      </c>
      <c r="F96" s="1">
        <v>43303</v>
      </c>
      <c r="G96" t="s">
        <v>14</v>
      </c>
      <c r="H96" t="s">
        <v>21</v>
      </c>
      <c r="I96" t="s">
        <v>16</v>
      </c>
      <c r="J96" s="13">
        <v>2764.74</v>
      </c>
      <c r="K96" s="36">
        <f ca="1">DATEDIF(personel[[#This Row],[Date de naissance]], TODAY(), "Y")</f>
        <v>52</v>
      </c>
      <c r="L96" s="36">
        <f ca="1">DATEDIF(personel[[#This Row],[Date d''entrée]], TODAY(), "Y")</f>
        <v>7</v>
      </c>
      <c r="M96" s="1">
        <f>(EDATE(personel[[#This Row],[Date d''entrée]], 12))</f>
        <v>43668</v>
      </c>
    </row>
    <row r="97" spans="1:13" x14ac:dyDescent="0.25">
      <c r="A97" t="s">
        <v>277</v>
      </c>
      <c r="B97" t="s">
        <v>278</v>
      </c>
      <c r="C97" t="s">
        <v>279</v>
      </c>
      <c r="D97" s="11" t="s">
        <v>13</v>
      </c>
      <c r="E97" s="1">
        <v>26267</v>
      </c>
      <c r="F97" s="1">
        <v>43198</v>
      </c>
      <c r="G97" t="s">
        <v>42</v>
      </c>
      <c r="H97" t="s">
        <v>38</v>
      </c>
      <c r="I97" t="s">
        <v>26</v>
      </c>
      <c r="J97" s="13">
        <v>2121.89</v>
      </c>
      <c r="K97" s="36">
        <f ca="1">DATEDIF(personel[[#This Row],[Date de naissance]], TODAY(), "Y")</f>
        <v>54</v>
      </c>
      <c r="L97" s="36">
        <f ca="1">DATEDIF(personel[[#This Row],[Date d''entrée]], TODAY(), "Y")</f>
        <v>8</v>
      </c>
      <c r="M97" s="1">
        <f>(EDATE(personel[[#This Row],[Date d''entrée]], 12))</f>
        <v>43563</v>
      </c>
    </row>
    <row r="98" spans="1:13" x14ac:dyDescent="0.25">
      <c r="A98" t="s">
        <v>280</v>
      </c>
      <c r="B98" t="s">
        <v>281</v>
      </c>
      <c r="C98" t="s">
        <v>282</v>
      </c>
      <c r="D98" s="11" t="s">
        <v>13</v>
      </c>
      <c r="E98" s="1">
        <v>27977</v>
      </c>
      <c r="F98" s="1">
        <v>42473</v>
      </c>
      <c r="G98" t="s">
        <v>14</v>
      </c>
      <c r="H98" t="s">
        <v>21</v>
      </c>
      <c r="I98" t="s">
        <v>26</v>
      </c>
      <c r="J98" s="13">
        <v>3177.67</v>
      </c>
      <c r="K98" s="36">
        <f ca="1">DATEDIF(personel[[#This Row],[Date de naissance]], TODAY(), "Y")</f>
        <v>49</v>
      </c>
      <c r="L98" s="36">
        <f ca="1">DATEDIF(personel[[#This Row],[Date d''entrée]], TODAY(), "Y")</f>
        <v>10</v>
      </c>
      <c r="M98" s="1">
        <f>(EDATE(personel[[#This Row],[Date d''entrée]], 12))</f>
        <v>42838</v>
      </c>
    </row>
    <row r="99" spans="1:13" x14ac:dyDescent="0.25">
      <c r="A99" t="s">
        <v>283</v>
      </c>
      <c r="B99" t="s">
        <v>284</v>
      </c>
      <c r="C99" t="s">
        <v>285</v>
      </c>
      <c r="D99" s="11" t="s">
        <v>20</v>
      </c>
      <c r="E99" s="1">
        <v>30861</v>
      </c>
      <c r="F99" s="1">
        <v>43043</v>
      </c>
      <c r="G99" t="s">
        <v>14</v>
      </c>
      <c r="H99" t="s">
        <v>38</v>
      </c>
      <c r="I99" t="s">
        <v>16</v>
      </c>
      <c r="J99" s="13">
        <v>3156.63</v>
      </c>
      <c r="K99" s="36">
        <f ca="1">DATEDIF(personel[[#This Row],[Date de naissance]], TODAY(), "Y")</f>
        <v>41</v>
      </c>
      <c r="L99" s="36">
        <f ca="1">DATEDIF(personel[[#This Row],[Date d''entrée]], TODAY(), "Y")</f>
        <v>8</v>
      </c>
      <c r="M99" s="1">
        <f>(EDATE(personel[[#This Row],[Date d''entrée]], 12))</f>
        <v>43408</v>
      </c>
    </row>
    <row r="100" spans="1:13" x14ac:dyDescent="0.25">
      <c r="A100" t="s">
        <v>286</v>
      </c>
      <c r="B100" t="s">
        <v>287</v>
      </c>
      <c r="C100" t="s">
        <v>288</v>
      </c>
      <c r="D100" s="11" t="s">
        <v>13</v>
      </c>
      <c r="E100" s="1">
        <v>26855</v>
      </c>
      <c r="F100" s="1">
        <v>43445</v>
      </c>
      <c r="G100" t="s">
        <v>30</v>
      </c>
      <c r="H100" t="s">
        <v>15</v>
      </c>
      <c r="I100" t="s">
        <v>26</v>
      </c>
      <c r="J100" s="13">
        <v>3003.07</v>
      </c>
      <c r="K100" s="36">
        <f ca="1">DATEDIF(personel[[#This Row],[Date de naissance]], TODAY(), "Y")</f>
        <v>52</v>
      </c>
      <c r="L100" s="36">
        <f ca="1">DATEDIF(personel[[#This Row],[Date d''entrée]], TODAY(), "Y")</f>
        <v>7</v>
      </c>
      <c r="M100" s="1">
        <f>(EDATE(personel[[#This Row],[Date d''entrée]], 12))</f>
        <v>43810</v>
      </c>
    </row>
    <row r="101" spans="1:13" x14ac:dyDescent="0.25">
      <c r="A101" t="s">
        <v>289</v>
      </c>
      <c r="B101" t="s">
        <v>290</v>
      </c>
      <c r="C101" t="s">
        <v>159</v>
      </c>
      <c r="D101" s="11" t="s">
        <v>20</v>
      </c>
      <c r="E101" s="1">
        <v>37619</v>
      </c>
      <c r="F101" s="1">
        <v>43331</v>
      </c>
      <c r="G101" t="s">
        <v>30</v>
      </c>
      <c r="H101" t="s">
        <v>34</v>
      </c>
      <c r="I101" t="s">
        <v>16</v>
      </c>
      <c r="J101" s="13">
        <v>2859.25</v>
      </c>
      <c r="K101" s="36">
        <f ca="1">DATEDIF(personel[[#This Row],[Date de naissance]], TODAY(), "Y")</f>
        <v>23</v>
      </c>
      <c r="L101" s="36">
        <f ca="1">DATEDIF(personel[[#This Row],[Date d''entrée]], TODAY(), "Y")</f>
        <v>7</v>
      </c>
      <c r="M101" s="1">
        <f>(EDATE(personel[[#This Row],[Date d''entrée]], 12))</f>
        <v>43696</v>
      </c>
    </row>
    <row r="102" spans="1:13" x14ac:dyDescent="0.25">
      <c r="A102" t="s">
        <v>291</v>
      </c>
      <c r="B102" t="s">
        <v>292</v>
      </c>
      <c r="C102" t="s">
        <v>293</v>
      </c>
      <c r="D102" s="11" t="s">
        <v>13</v>
      </c>
      <c r="E102" s="1">
        <v>32500</v>
      </c>
      <c r="F102" s="1">
        <v>45664</v>
      </c>
      <c r="G102" t="s">
        <v>14</v>
      </c>
      <c r="H102" t="s">
        <v>34</v>
      </c>
      <c r="I102" t="s">
        <v>16</v>
      </c>
      <c r="J102" s="13">
        <v>2150.7800000000002</v>
      </c>
      <c r="K102" s="36">
        <f ca="1">DATEDIF(personel[[#This Row],[Date de naissance]], TODAY(), "Y")</f>
        <v>37</v>
      </c>
      <c r="L102" s="36">
        <f ca="1">DATEDIF(personel[[#This Row],[Date d''entrée]], TODAY(), "Y")</f>
        <v>1</v>
      </c>
      <c r="M102" s="1">
        <f>(EDATE(personel[[#This Row],[Date d''entrée]], 12))</f>
        <v>46029</v>
      </c>
    </row>
    <row r="103" spans="1:13" x14ac:dyDescent="0.25">
      <c r="A103" t="s">
        <v>294</v>
      </c>
      <c r="B103" t="s">
        <v>295</v>
      </c>
      <c r="C103" t="s">
        <v>296</v>
      </c>
      <c r="D103" s="11" t="s">
        <v>13</v>
      </c>
      <c r="E103" s="1">
        <v>29178</v>
      </c>
      <c r="F103" s="1">
        <v>44892</v>
      </c>
      <c r="G103" t="s">
        <v>14</v>
      </c>
      <c r="H103" t="s">
        <v>38</v>
      </c>
      <c r="I103" t="s">
        <v>26</v>
      </c>
      <c r="J103" s="13">
        <v>2747.61</v>
      </c>
      <c r="K103" s="36">
        <f ca="1">DATEDIF(personel[[#This Row],[Date de naissance]], TODAY(), "Y")</f>
        <v>46</v>
      </c>
      <c r="L103" s="36">
        <f ca="1">DATEDIF(personel[[#This Row],[Date d''entrée]], TODAY(), "Y")</f>
        <v>3</v>
      </c>
      <c r="M103" s="1">
        <f>(EDATE(personel[[#This Row],[Date d''entrée]], 12))</f>
        <v>45257</v>
      </c>
    </row>
    <row r="104" spans="1:13" x14ac:dyDescent="0.25">
      <c r="A104" t="s">
        <v>297</v>
      </c>
      <c r="B104" t="s">
        <v>298</v>
      </c>
      <c r="C104" t="s">
        <v>260</v>
      </c>
      <c r="D104" s="11" t="s">
        <v>13</v>
      </c>
      <c r="E104" s="1">
        <v>27221</v>
      </c>
      <c r="F104" s="1">
        <v>42328</v>
      </c>
      <c r="G104" t="s">
        <v>30</v>
      </c>
      <c r="H104" t="s">
        <v>49</v>
      </c>
      <c r="I104" t="s">
        <v>16</v>
      </c>
      <c r="J104" s="13">
        <v>2794.37</v>
      </c>
      <c r="K104" s="36">
        <f ca="1">DATEDIF(personel[[#This Row],[Date de naissance]], TODAY(), "Y")</f>
        <v>51</v>
      </c>
      <c r="L104" s="36">
        <f ca="1">DATEDIF(personel[[#This Row],[Date d''entrée]], TODAY(), "Y")</f>
        <v>10</v>
      </c>
      <c r="M104" s="1">
        <f>(EDATE(personel[[#This Row],[Date d''entrée]], 12))</f>
        <v>42694</v>
      </c>
    </row>
    <row r="105" spans="1:13" x14ac:dyDescent="0.25">
      <c r="A105" t="s">
        <v>299</v>
      </c>
      <c r="B105" t="s">
        <v>300</v>
      </c>
      <c r="C105" t="s">
        <v>301</v>
      </c>
      <c r="D105" s="11" t="s">
        <v>13</v>
      </c>
      <c r="E105" s="1">
        <v>31494</v>
      </c>
      <c r="F105" s="1">
        <v>43861</v>
      </c>
      <c r="G105" t="s">
        <v>30</v>
      </c>
      <c r="H105" t="s">
        <v>21</v>
      </c>
      <c r="I105" t="s">
        <v>26</v>
      </c>
      <c r="J105" s="13">
        <v>2518.63</v>
      </c>
      <c r="K105" s="36">
        <f ca="1">DATEDIF(personel[[#This Row],[Date de naissance]], TODAY(), "Y")</f>
        <v>40</v>
      </c>
      <c r="L105" s="36">
        <f ca="1">DATEDIF(personel[[#This Row],[Date d''entrée]], TODAY(), "Y")</f>
        <v>6</v>
      </c>
      <c r="M105" s="1">
        <f>(EDATE(personel[[#This Row],[Date d''entrée]], 12))</f>
        <v>44227</v>
      </c>
    </row>
    <row r="106" spans="1:13" x14ac:dyDescent="0.25">
      <c r="A106" t="s">
        <v>302</v>
      </c>
      <c r="B106" t="s">
        <v>183</v>
      </c>
      <c r="C106" t="s">
        <v>99</v>
      </c>
      <c r="D106" s="11" t="s">
        <v>20</v>
      </c>
      <c r="E106" s="1">
        <v>35580</v>
      </c>
      <c r="F106" s="1">
        <v>44865</v>
      </c>
      <c r="G106" t="s">
        <v>14</v>
      </c>
      <c r="H106" t="s">
        <v>49</v>
      </c>
      <c r="I106" t="s">
        <v>16</v>
      </c>
      <c r="J106" s="13">
        <v>2903.23</v>
      </c>
      <c r="K106" s="36">
        <f ca="1">DATEDIF(personel[[#This Row],[Date de naissance]], TODAY(), "Y")</f>
        <v>28</v>
      </c>
      <c r="L106" s="36">
        <f ca="1">DATEDIF(personel[[#This Row],[Date d''entrée]], TODAY(), "Y")</f>
        <v>3</v>
      </c>
      <c r="M106" s="1">
        <f>(EDATE(personel[[#This Row],[Date d''entrée]], 12))</f>
        <v>45230</v>
      </c>
    </row>
    <row r="107" spans="1:13" x14ac:dyDescent="0.25">
      <c r="A107" t="s">
        <v>303</v>
      </c>
      <c r="B107" t="s">
        <v>304</v>
      </c>
      <c r="C107" t="s">
        <v>285</v>
      </c>
      <c r="D107" s="11" t="s">
        <v>13</v>
      </c>
      <c r="E107" s="1">
        <v>28476</v>
      </c>
      <c r="F107" s="1">
        <v>45252</v>
      </c>
      <c r="G107" t="s">
        <v>30</v>
      </c>
      <c r="H107" t="s">
        <v>34</v>
      </c>
      <c r="I107" t="s">
        <v>26</v>
      </c>
      <c r="J107" s="13">
        <v>3242.43</v>
      </c>
      <c r="K107" s="36">
        <f ca="1">DATEDIF(personel[[#This Row],[Date de naissance]], TODAY(), "Y")</f>
        <v>48</v>
      </c>
      <c r="L107" s="36">
        <f ca="1">DATEDIF(personel[[#This Row],[Date d''entrée]], TODAY(), "Y")</f>
        <v>2</v>
      </c>
      <c r="M107" s="1">
        <f>(EDATE(personel[[#This Row],[Date d''entrée]], 12))</f>
        <v>45618</v>
      </c>
    </row>
    <row r="108" spans="1:13" x14ac:dyDescent="0.25">
      <c r="A108" t="s">
        <v>305</v>
      </c>
      <c r="B108" t="s">
        <v>306</v>
      </c>
      <c r="C108" t="s">
        <v>307</v>
      </c>
      <c r="D108" s="11" t="s">
        <v>13</v>
      </c>
      <c r="E108" s="1">
        <v>26855</v>
      </c>
      <c r="F108" s="1">
        <v>43648</v>
      </c>
      <c r="G108" t="s">
        <v>30</v>
      </c>
      <c r="H108" t="s">
        <v>34</v>
      </c>
      <c r="I108" t="s">
        <v>26</v>
      </c>
      <c r="J108" s="13">
        <v>4131.71</v>
      </c>
      <c r="K108" s="36">
        <f ca="1">DATEDIF(personel[[#This Row],[Date de naissance]], TODAY(), "Y")</f>
        <v>52</v>
      </c>
      <c r="L108" s="36">
        <f ca="1">DATEDIF(personel[[#This Row],[Date d''entrée]], TODAY(), "Y")</f>
        <v>6</v>
      </c>
      <c r="M108" s="1">
        <f>(EDATE(personel[[#This Row],[Date d''entrée]], 12))</f>
        <v>44014</v>
      </c>
    </row>
    <row r="109" spans="1:13" x14ac:dyDescent="0.25">
      <c r="A109" t="s">
        <v>308</v>
      </c>
      <c r="B109" t="s">
        <v>309</v>
      </c>
      <c r="C109" t="s">
        <v>310</v>
      </c>
      <c r="D109" s="11" t="s">
        <v>20</v>
      </c>
      <c r="E109" s="1">
        <v>31004</v>
      </c>
      <c r="F109" s="1">
        <v>42374</v>
      </c>
      <c r="G109" t="s">
        <v>42</v>
      </c>
      <c r="H109" t="s">
        <v>38</v>
      </c>
      <c r="I109" t="s">
        <v>26</v>
      </c>
      <c r="J109" s="13">
        <v>3104.75</v>
      </c>
      <c r="K109" s="36">
        <f ca="1">DATEDIF(personel[[#This Row],[Date de naissance]], TODAY(), "Y")</f>
        <v>41</v>
      </c>
      <c r="L109" s="36">
        <f ca="1">DATEDIF(personel[[#This Row],[Date d''entrée]], TODAY(), "Y")</f>
        <v>10</v>
      </c>
      <c r="M109" s="1">
        <f>(EDATE(personel[[#This Row],[Date d''entrée]], 12))</f>
        <v>42740</v>
      </c>
    </row>
    <row r="110" spans="1:13" x14ac:dyDescent="0.25">
      <c r="A110" t="s">
        <v>311</v>
      </c>
      <c r="B110" t="s">
        <v>312</v>
      </c>
      <c r="C110" t="s">
        <v>55</v>
      </c>
      <c r="D110" s="11" t="s">
        <v>13</v>
      </c>
      <c r="E110" s="1">
        <v>25328</v>
      </c>
      <c r="F110" s="1">
        <v>43376</v>
      </c>
      <c r="G110" t="s">
        <v>30</v>
      </c>
      <c r="H110" t="s">
        <v>49</v>
      </c>
      <c r="I110" t="s">
        <v>26</v>
      </c>
      <c r="J110" s="13">
        <v>3154.53</v>
      </c>
      <c r="K110" s="36">
        <f ca="1">DATEDIF(personel[[#This Row],[Date de naissance]], TODAY(), "Y")</f>
        <v>57</v>
      </c>
      <c r="L110" s="36">
        <f ca="1">DATEDIF(personel[[#This Row],[Date d''entrée]], TODAY(), "Y")</f>
        <v>7</v>
      </c>
      <c r="M110" s="1">
        <f>(EDATE(personel[[#This Row],[Date d''entrée]], 12))</f>
        <v>43741</v>
      </c>
    </row>
    <row r="111" spans="1:13" x14ac:dyDescent="0.25">
      <c r="A111" t="s">
        <v>313</v>
      </c>
      <c r="B111" t="s">
        <v>314</v>
      </c>
      <c r="C111" t="s">
        <v>37</v>
      </c>
      <c r="D111" s="11" t="s">
        <v>20</v>
      </c>
      <c r="E111" s="1">
        <v>30983</v>
      </c>
      <c r="F111" s="1">
        <v>42956</v>
      </c>
      <c r="G111" t="s">
        <v>30</v>
      </c>
      <c r="H111" t="s">
        <v>25</v>
      </c>
      <c r="I111" t="s">
        <v>26</v>
      </c>
      <c r="J111" s="13">
        <v>2955.33</v>
      </c>
      <c r="K111" s="36">
        <f ca="1">DATEDIF(personel[[#This Row],[Date de naissance]], TODAY(), "Y")</f>
        <v>41</v>
      </c>
      <c r="L111" s="36">
        <f ca="1">DATEDIF(personel[[#This Row],[Date d''entrée]], TODAY(), "Y")</f>
        <v>8</v>
      </c>
      <c r="M111" s="1">
        <f>(EDATE(personel[[#This Row],[Date d''entrée]], 12))</f>
        <v>43321</v>
      </c>
    </row>
    <row r="112" spans="1:13" x14ac:dyDescent="0.25">
      <c r="A112" t="s">
        <v>315</v>
      </c>
      <c r="B112" t="s">
        <v>77</v>
      </c>
      <c r="C112" t="s">
        <v>316</v>
      </c>
      <c r="D112" s="11" t="s">
        <v>20</v>
      </c>
      <c r="E112" s="1">
        <v>33743</v>
      </c>
      <c r="F112" s="1">
        <v>43829</v>
      </c>
      <c r="G112" t="s">
        <v>42</v>
      </c>
      <c r="H112" t="s">
        <v>38</v>
      </c>
      <c r="I112" t="s">
        <v>26</v>
      </c>
      <c r="J112" s="13">
        <v>1848.74</v>
      </c>
      <c r="K112" s="36">
        <f ca="1">DATEDIF(personel[[#This Row],[Date de naissance]], TODAY(), "Y")</f>
        <v>34</v>
      </c>
      <c r="L112" s="36">
        <f ca="1">DATEDIF(personel[[#This Row],[Date d''entrée]], TODAY(), "Y")</f>
        <v>6</v>
      </c>
      <c r="M112" s="1">
        <f>(EDATE(personel[[#This Row],[Date d''entrée]], 12))</f>
        <v>44195</v>
      </c>
    </row>
    <row r="113" spans="1:13" x14ac:dyDescent="0.25">
      <c r="A113" t="s">
        <v>317</v>
      </c>
      <c r="B113" t="s">
        <v>318</v>
      </c>
      <c r="C113" t="s">
        <v>319</v>
      </c>
      <c r="D113" s="11" t="s">
        <v>13</v>
      </c>
      <c r="E113" s="1">
        <v>35791</v>
      </c>
      <c r="F113" s="1">
        <v>44076</v>
      </c>
      <c r="G113" t="s">
        <v>30</v>
      </c>
      <c r="H113" t="s">
        <v>21</v>
      </c>
      <c r="I113" t="s">
        <v>26</v>
      </c>
      <c r="J113" s="13">
        <v>2984.09</v>
      </c>
      <c r="K113" s="36">
        <f ca="1">DATEDIF(personel[[#This Row],[Date de naissance]], TODAY(), "Y")</f>
        <v>28</v>
      </c>
      <c r="L113" s="36">
        <f ca="1">DATEDIF(personel[[#This Row],[Date d''entrée]], TODAY(), "Y")</f>
        <v>5</v>
      </c>
      <c r="M113" s="1">
        <f>(EDATE(personel[[#This Row],[Date d''entrée]], 12))</f>
        <v>44441</v>
      </c>
    </row>
    <row r="114" spans="1:13" x14ac:dyDescent="0.25">
      <c r="A114" t="s">
        <v>320</v>
      </c>
      <c r="B114" t="s">
        <v>321</v>
      </c>
      <c r="C114" t="s">
        <v>288</v>
      </c>
      <c r="D114" s="11" t="s">
        <v>20</v>
      </c>
      <c r="E114" s="1">
        <v>35760</v>
      </c>
      <c r="F114" s="1">
        <v>44052</v>
      </c>
      <c r="G114" t="s">
        <v>42</v>
      </c>
      <c r="H114" t="s">
        <v>38</v>
      </c>
      <c r="I114" t="s">
        <v>16</v>
      </c>
      <c r="J114" s="13">
        <v>3036.14</v>
      </c>
      <c r="K114" s="36">
        <f ca="1">DATEDIF(personel[[#This Row],[Date de naissance]], TODAY(), "Y")</f>
        <v>28</v>
      </c>
      <c r="L114" s="36">
        <f ca="1">DATEDIF(personel[[#This Row],[Date d''entrée]], TODAY(), "Y")</f>
        <v>5</v>
      </c>
      <c r="M114" s="1">
        <f>(EDATE(personel[[#This Row],[Date d''entrée]], 12))</f>
        <v>44417</v>
      </c>
    </row>
    <row r="115" spans="1:13" x14ac:dyDescent="0.25">
      <c r="A115" t="s">
        <v>322</v>
      </c>
      <c r="B115" t="s">
        <v>323</v>
      </c>
      <c r="C115" t="s">
        <v>266</v>
      </c>
      <c r="D115" s="11" t="s">
        <v>13</v>
      </c>
      <c r="E115" s="1">
        <v>23737</v>
      </c>
      <c r="F115" s="1">
        <v>43694</v>
      </c>
      <c r="G115" t="s">
        <v>30</v>
      </c>
      <c r="H115" t="s">
        <v>25</v>
      </c>
      <c r="I115" t="s">
        <v>26</v>
      </c>
      <c r="J115" s="13">
        <v>4477.95</v>
      </c>
      <c r="K115" s="36">
        <f ca="1">DATEDIF(personel[[#This Row],[Date de naissance]], TODAY(), "Y")</f>
        <v>61</v>
      </c>
      <c r="L115" s="36">
        <f ca="1">DATEDIF(personel[[#This Row],[Date d''entrée]], TODAY(), "Y")</f>
        <v>6</v>
      </c>
      <c r="M115" s="1">
        <f>(EDATE(personel[[#This Row],[Date d''entrée]], 12))</f>
        <v>44060</v>
      </c>
    </row>
    <row r="116" spans="1:13" x14ac:dyDescent="0.25">
      <c r="A116" t="s">
        <v>324</v>
      </c>
      <c r="B116" t="s">
        <v>325</v>
      </c>
      <c r="C116" t="s">
        <v>326</v>
      </c>
      <c r="D116" s="11" t="s">
        <v>20</v>
      </c>
      <c r="E116" s="1">
        <v>23784</v>
      </c>
      <c r="F116" s="1">
        <v>43961</v>
      </c>
      <c r="G116" t="s">
        <v>14</v>
      </c>
      <c r="H116" t="s">
        <v>21</v>
      </c>
      <c r="I116" t="s">
        <v>26</v>
      </c>
      <c r="J116" s="13">
        <v>2884.58</v>
      </c>
      <c r="K116" s="36">
        <f ca="1">DATEDIF(personel[[#This Row],[Date de naissance]], TODAY(), "Y")</f>
        <v>61</v>
      </c>
      <c r="L116" s="36">
        <f ca="1">DATEDIF(personel[[#This Row],[Date d''entrée]], TODAY(), "Y")</f>
        <v>6</v>
      </c>
      <c r="M116" s="1">
        <f>(EDATE(personel[[#This Row],[Date d''entrée]], 12))</f>
        <v>44326</v>
      </c>
    </row>
    <row r="117" spans="1:13" x14ac:dyDescent="0.25">
      <c r="A117" t="s">
        <v>327</v>
      </c>
      <c r="B117" t="s">
        <v>328</v>
      </c>
      <c r="C117" t="s">
        <v>329</v>
      </c>
      <c r="D117" s="11" t="s">
        <v>13</v>
      </c>
      <c r="E117" s="1">
        <v>23964</v>
      </c>
      <c r="F117" s="1">
        <v>43286</v>
      </c>
      <c r="G117" t="s">
        <v>42</v>
      </c>
      <c r="H117" t="s">
        <v>21</v>
      </c>
      <c r="I117" t="s">
        <v>26</v>
      </c>
      <c r="J117" s="13">
        <v>3180.93</v>
      </c>
      <c r="K117" s="36">
        <f ca="1">DATEDIF(personel[[#This Row],[Date de naissance]], TODAY(), "Y")</f>
        <v>60</v>
      </c>
      <c r="L117" s="36">
        <f ca="1">DATEDIF(personel[[#This Row],[Date d''entrée]], TODAY(), "Y")</f>
        <v>7</v>
      </c>
      <c r="M117" s="1">
        <f>(EDATE(personel[[#This Row],[Date d''entrée]], 12))</f>
        <v>43651</v>
      </c>
    </row>
    <row r="118" spans="1:13" x14ac:dyDescent="0.25">
      <c r="A118" t="s">
        <v>330</v>
      </c>
      <c r="B118" t="s">
        <v>183</v>
      </c>
      <c r="C118" t="s">
        <v>120</v>
      </c>
      <c r="D118" s="11" t="s">
        <v>20</v>
      </c>
      <c r="E118" s="1">
        <v>28863</v>
      </c>
      <c r="F118" s="1">
        <v>45471</v>
      </c>
      <c r="G118" t="s">
        <v>42</v>
      </c>
      <c r="H118" t="s">
        <v>25</v>
      </c>
      <c r="I118" t="s">
        <v>16</v>
      </c>
      <c r="J118" s="13">
        <v>2979.17</v>
      </c>
      <c r="K118" s="36">
        <f ca="1">DATEDIF(personel[[#This Row],[Date de naissance]], TODAY(), "Y")</f>
        <v>47</v>
      </c>
      <c r="L118" s="36">
        <f ca="1">DATEDIF(personel[[#This Row],[Date d''entrée]], TODAY(), "Y")</f>
        <v>1</v>
      </c>
      <c r="M118" s="1">
        <f>(EDATE(personel[[#This Row],[Date d''entrée]], 12))</f>
        <v>45836</v>
      </c>
    </row>
    <row r="119" spans="1:13" x14ac:dyDescent="0.25">
      <c r="A119" t="s">
        <v>331</v>
      </c>
      <c r="B119" t="s">
        <v>332</v>
      </c>
      <c r="C119" t="s">
        <v>333</v>
      </c>
      <c r="D119" s="11" t="s">
        <v>20</v>
      </c>
      <c r="E119" s="1">
        <v>32589</v>
      </c>
      <c r="F119" s="1">
        <v>44721</v>
      </c>
      <c r="G119" t="s">
        <v>42</v>
      </c>
      <c r="H119" t="s">
        <v>34</v>
      </c>
      <c r="I119" t="s">
        <v>16</v>
      </c>
      <c r="J119" s="13">
        <v>2298.79</v>
      </c>
      <c r="K119" s="36">
        <f ca="1">DATEDIF(personel[[#This Row],[Date de naissance]], TODAY(), "Y")</f>
        <v>37</v>
      </c>
      <c r="L119" s="36">
        <f ca="1">DATEDIF(personel[[#This Row],[Date d''entrée]], TODAY(), "Y")</f>
        <v>3</v>
      </c>
      <c r="M119" s="1">
        <f>(EDATE(personel[[#This Row],[Date d''entrée]], 12))</f>
        <v>45086</v>
      </c>
    </row>
    <row r="120" spans="1:13" x14ac:dyDescent="0.25">
      <c r="A120" t="s">
        <v>334</v>
      </c>
      <c r="B120" t="s">
        <v>112</v>
      </c>
      <c r="C120" t="s">
        <v>242</v>
      </c>
      <c r="D120" s="11" t="s">
        <v>13</v>
      </c>
      <c r="E120" s="1">
        <v>28164</v>
      </c>
      <c r="F120" s="1">
        <v>44377</v>
      </c>
      <c r="G120" t="s">
        <v>42</v>
      </c>
      <c r="H120" t="s">
        <v>34</v>
      </c>
      <c r="I120" t="s">
        <v>26</v>
      </c>
      <c r="J120" s="13">
        <v>3685.69</v>
      </c>
      <c r="K120" s="36">
        <f ca="1">DATEDIF(personel[[#This Row],[Date de naissance]], TODAY(), "Y")</f>
        <v>49</v>
      </c>
      <c r="L120" s="36">
        <f ca="1">DATEDIF(personel[[#This Row],[Date d''entrée]], TODAY(), "Y")</f>
        <v>4</v>
      </c>
      <c r="M120" s="1">
        <f>(EDATE(personel[[#This Row],[Date d''entrée]], 12))</f>
        <v>44742</v>
      </c>
    </row>
    <row r="121" spans="1:13" x14ac:dyDescent="0.25">
      <c r="A121" t="s">
        <v>335</v>
      </c>
      <c r="B121" t="s">
        <v>314</v>
      </c>
      <c r="C121" t="s">
        <v>336</v>
      </c>
      <c r="D121" s="11" t="s">
        <v>13</v>
      </c>
      <c r="E121" s="1">
        <v>27820</v>
      </c>
      <c r="F121" s="1">
        <v>45011</v>
      </c>
      <c r="G121" t="s">
        <v>42</v>
      </c>
      <c r="H121" t="s">
        <v>38</v>
      </c>
      <c r="I121" t="s">
        <v>16</v>
      </c>
      <c r="J121" s="13">
        <v>3451.16</v>
      </c>
      <c r="K121" s="36">
        <f ca="1">DATEDIF(personel[[#This Row],[Date de naissance]], TODAY(), "Y")</f>
        <v>50</v>
      </c>
      <c r="L121" s="36">
        <f ca="1">DATEDIF(personel[[#This Row],[Date d''entrée]], TODAY(), "Y")</f>
        <v>3</v>
      </c>
      <c r="M121" s="1">
        <f>(EDATE(personel[[#This Row],[Date d''entrée]], 12))</f>
        <v>45377</v>
      </c>
    </row>
    <row r="122" spans="1:13" x14ac:dyDescent="0.25">
      <c r="A122" t="s">
        <v>337</v>
      </c>
      <c r="B122" t="s">
        <v>290</v>
      </c>
      <c r="C122" t="s">
        <v>72</v>
      </c>
      <c r="D122" s="11" t="s">
        <v>20</v>
      </c>
      <c r="E122" s="1">
        <v>26453</v>
      </c>
      <c r="F122" s="1">
        <v>42269</v>
      </c>
      <c r="G122" t="s">
        <v>30</v>
      </c>
      <c r="H122" t="s">
        <v>49</v>
      </c>
      <c r="I122" t="s">
        <v>26</v>
      </c>
      <c r="J122" s="13">
        <v>3474.62</v>
      </c>
      <c r="K122" s="36">
        <f ca="1">DATEDIF(personel[[#This Row],[Date de naissance]], TODAY(), "Y")</f>
        <v>53</v>
      </c>
      <c r="L122" s="36">
        <f ca="1">DATEDIF(personel[[#This Row],[Date d''entrée]], TODAY(), "Y")</f>
        <v>10</v>
      </c>
      <c r="M122" s="1">
        <f>(EDATE(personel[[#This Row],[Date d''entrée]], 12))</f>
        <v>42635</v>
      </c>
    </row>
    <row r="123" spans="1:13" x14ac:dyDescent="0.25">
      <c r="A123" t="s">
        <v>338</v>
      </c>
      <c r="B123" t="s">
        <v>339</v>
      </c>
      <c r="C123" t="s">
        <v>211</v>
      </c>
      <c r="D123" s="11" t="s">
        <v>20</v>
      </c>
      <c r="E123" s="1">
        <v>24033</v>
      </c>
      <c r="F123" s="1">
        <v>44171</v>
      </c>
      <c r="G123" t="s">
        <v>14</v>
      </c>
      <c r="H123" t="s">
        <v>38</v>
      </c>
      <c r="I123" t="s">
        <v>26</v>
      </c>
      <c r="J123" s="13">
        <v>2454.37</v>
      </c>
      <c r="K123" s="36">
        <f ca="1">DATEDIF(personel[[#This Row],[Date de naissance]], TODAY(), "Y")</f>
        <v>60</v>
      </c>
      <c r="L123" s="36">
        <f ca="1">DATEDIF(personel[[#This Row],[Date d''entrée]], TODAY(), "Y")</f>
        <v>5</v>
      </c>
      <c r="M123" s="1">
        <f>(EDATE(personel[[#This Row],[Date d''entrée]], 12))</f>
        <v>44536</v>
      </c>
    </row>
    <row r="124" spans="1:13" x14ac:dyDescent="0.25">
      <c r="A124" t="s">
        <v>340</v>
      </c>
      <c r="B124" t="s">
        <v>341</v>
      </c>
      <c r="C124" t="s">
        <v>342</v>
      </c>
      <c r="D124" s="11" t="s">
        <v>13</v>
      </c>
      <c r="E124" s="1">
        <v>23045</v>
      </c>
      <c r="F124" s="1">
        <v>43764</v>
      </c>
      <c r="G124" t="s">
        <v>14</v>
      </c>
      <c r="H124" t="s">
        <v>38</v>
      </c>
      <c r="I124" t="s">
        <v>26</v>
      </c>
      <c r="J124" s="13">
        <v>3841.68</v>
      </c>
      <c r="K124" s="36">
        <f ca="1">DATEDIF(personel[[#This Row],[Date de naissance]], TODAY(), "Y")</f>
        <v>63</v>
      </c>
      <c r="L124" s="36">
        <f ca="1">DATEDIF(personel[[#This Row],[Date d''entrée]], TODAY(), "Y")</f>
        <v>6</v>
      </c>
      <c r="M124" s="1">
        <f>(EDATE(personel[[#This Row],[Date d''entrée]], 12))</f>
        <v>44130</v>
      </c>
    </row>
    <row r="125" spans="1:13" x14ac:dyDescent="0.25">
      <c r="A125" t="s">
        <v>343</v>
      </c>
      <c r="B125" t="s">
        <v>344</v>
      </c>
      <c r="C125" t="s">
        <v>345</v>
      </c>
      <c r="D125" s="11" t="s">
        <v>13</v>
      </c>
      <c r="E125" s="1">
        <v>27681</v>
      </c>
      <c r="F125" s="1">
        <v>43930</v>
      </c>
      <c r="G125" t="s">
        <v>14</v>
      </c>
      <c r="H125" t="s">
        <v>21</v>
      </c>
      <c r="I125" t="s">
        <v>79</v>
      </c>
      <c r="J125" s="13">
        <v>2158.89</v>
      </c>
      <c r="K125" s="36">
        <f ca="1">DATEDIF(personel[[#This Row],[Date de naissance]], TODAY(), "Y")</f>
        <v>50</v>
      </c>
      <c r="L125" s="36">
        <f ca="1">DATEDIF(personel[[#This Row],[Date d''entrée]], TODAY(), "Y")</f>
        <v>6</v>
      </c>
      <c r="M125" s="1">
        <f>(EDATE(personel[[#This Row],[Date d''entrée]], 12))</f>
        <v>44295</v>
      </c>
    </row>
    <row r="126" spans="1:13" x14ac:dyDescent="0.25">
      <c r="A126" t="s">
        <v>346</v>
      </c>
      <c r="B126" t="s">
        <v>347</v>
      </c>
      <c r="C126" t="s">
        <v>348</v>
      </c>
      <c r="D126" s="11" t="s">
        <v>20</v>
      </c>
      <c r="E126" s="1">
        <v>37660</v>
      </c>
      <c r="F126" s="1">
        <v>44285</v>
      </c>
      <c r="G126" t="s">
        <v>14</v>
      </c>
      <c r="H126" t="s">
        <v>15</v>
      </c>
      <c r="I126" t="s">
        <v>26</v>
      </c>
      <c r="J126" s="13">
        <v>3352.11</v>
      </c>
      <c r="K126" s="36">
        <f ca="1">DATEDIF(personel[[#This Row],[Date de naissance]], TODAY(), "Y")</f>
        <v>23</v>
      </c>
      <c r="L126" s="36">
        <f ca="1">DATEDIF(personel[[#This Row],[Date d''entrée]], TODAY(), "Y")</f>
        <v>5</v>
      </c>
      <c r="M126" s="1">
        <f>(EDATE(personel[[#This Row],[Date d''entrée]], 12))</f>
        <v>44650</v>
      </c>
    </row>
    <row r="127" spans="1:13" x14ac:dyDescent="0.25">
      <c r="A127" t="s">
        <v>349</v>
      </c>
      <c r="B127" t="s">
        <v>350</v>
      </c>
      <c r="C127" t="s">
        <v>159</v>
      </c>
      <c r="D127" s="11" t="s">
        <v>20</v>
      </c>
      <c r="E127" s="1">
        <v>30486</v>
      </c>
      <c r="F127" s="1">
        <v>42829</v>
      </c>
      <c r="G127" t="s">
        <v>14</v>
      </c>
      <c r="H127" t="s">
        <v>21</v>
      </c>
      <c r="I127" t="s">
        <v>26</v>
      </c>
      <c r="J127" s="13">
        <v>4314.2700000000004</v>
      </c>
      <c r="K127" s="36">
        <f ca="1">DATEDIF(personel[[#This Row],[Date de naissance]], TODAY(), "Y")</f>
        <v>42</v>
      </c>
      <c r="L127" s="36">
        <f ca="1">DATEDIF(personel[[#This Row],[Date d''entrée]], TODAY(), "Y")</f>
        <v>9</v>
      </c>
      <c r="M127" s="1">
        <f>(EDATE(personel[[#This Row],[Date d''entrée]], 12))</f>
        <v>43194</v>
      </c>
    </row>
    <row r="128" spans="1:13" x14ac:dyDescent="0.25">
      <c r="A128" t="s">
        <v>351</v>
      </c>
      <c r="B128" t="s">
        <v>352</v>
      </c>
      <c r="C128" t="s">
        <v>353</v>
      </c>
      <c r="D128" s="11" t="s">
        <v>13</v>
      </c>
      <c r="E128" s="1">
        <v>36241</v>
      </c>
      <c r="F128" s="1">
        <v>43374</v>
      </c>
      <c r="G128" t="s">
        <v>42</v>
      </c>
      <c r="H128" t="s">
        <v>15</v>
      </c>
      <c r="I128" t="s">
        <v>26</v>
      </c>
      <c r="J128" s="13">
        <v>2405.6799999999998</v>
      </c>
      <c r="K128" s="36">
        <f ca="1">DATEDIF(personel[[#This Row],[Date de naissance]], TODAY(), "Y")</f>
        <v>27</v>
      </c>
      <c r="L128" s="36">
        <f ca="1">DATEDIF(personel[[#This Row],[Date d''entrée]], TODAY(), "Y")</f>
        <v>7</v>
      </c>
      <c r="M128" s="1">
        <f>(EDATE(personel[[#This Row],[Date d''entrée]], 12))</f>
        <v>43739</v>
      </c>
    </row>
    <row r="129" spans="1:13" x14ac:dyDescent="0.25">
      <c r="A129" t="s">
        <v>354</v>
      </c>
      <c r="B129" t="s">
        <v>355</v>
      </c>
      <c r="C129" t="s">
        <v>96</v>
      </c>
      <c r="D129" s="11" t="s">
        <v>20</v>
      </c>
      <c r="E129" s="1">
        <v>38104</v>
      </c>
      <c r="F129" s="1">
        <v>45595</v>
      </c>
      <c r="G129" t="s">
        <v>42</v>
      </c>
      <c r="H129" t="s">
        <v>25</v>
      </c>
      <c r="I129" t="s">
        <v>26</v>
      </c>
      <c r="J129" s="13">
        <v>2660.22</v>
      </c>
      <c r="K129" s="36">
        <f ca="1">DATEDIF(personel[[#This Row],[Date de naissance]], TODAY(), "Y")</f>
        <v>22</v>
      </c>
      <c r="L129" s="36">
        <f ca="1">DATEDIF(personel[[#This Row],[Date d''entrée]], TODAY(), "Y")</f>
        <v>1</v>
      </c>
      <c r="M129" s="1">
        <f>(EDATE(personel[[#This Row],[Date d''entrée]], 12))</f>
        <v>45960</v>
      </c>
    </row>
    <row r="130" spans="1:13" x14ac:dyDescent="0.25">
      <c r="A130" t="s">
        <v>356</v>
      </c>
      <c r="B130" t="s">
        <v>357</v>
      </c>
      <c r="C130" t="s">
        <v>358</v>
      </c>
      <c r="D130" s="11" t="s">
        <v>20</v>
      </c>
      <c r="E130" s="1">
        <v>35743</v>
      </c>
      <c r="F130" s="1">
        <v>43315</v>
      </c>
      <c r="G130" t="s">
        <v>14</v>
      </c>
      <c r="H130" t="s">
        <v>34</v>
      </c>
      <c r="I130" t="s">
        <v>26</v>
      </c>
      <c r="J130" s="13">
        <v>3059.79</v>
      </c>
      <c r="K130" s="36">
        <f ca="1">DATEDIF(personel[[#This Row],[Date de naissance]], TODAY(), "Y")</f>
        <v>28</v>
      </c>
      <c r="L130" s="36">
        <f ca="1">DATEDIF(personel[[#This Row],[Date d''entrée]], TODAY(), "Y")</f>
        <v>7</v>
      </c>
      <c r="M130" s="1">
        <f>(EDATE(personel[[#This Row],[Date d''entrée]], 12))</f>
        <v>43680</v>
      </c>
    </row>
    <row r="131" spans="1:13" x14ac:dyDescent="0.25">
      <c r="A131" t="s">
        <v>359</v>
      </c>
      <c r="B131" t="s">
        <v>360</v>
      </c>
      <c r="C131" t="s">
        <v>75</v>
      </c>
      <c r="D131" s="11" t="s">
        <v>13</v>
      </c>
      <c r="E131" s="1">
        <v>36267</v>
      </c>
      <c r="F131" s="1">
        <v>45364</v>
      </c>
      <c r="G131" t="s">
        <v>42</v>
      </c>
      <c r="H131" t="s">
        <v>15</v>
      </c>
      <c r="I131" t="s">
        <v>26</v>
      </c>
      <c r="J131" s="13">
        <v>2697.91</v>
      </c>
      <c r="K131" s="36">
        <f ca="1">DATEDIF(personel[[#This Row],[Date de naissance]], TODAY(), "Y")</f>
        <v>27</v>
      </c>
      <c r="L131" s="36">
        <f ca="1">DATEDIF(personel[[#This Row],[Date d''entrée]], TODAY(), "Y")</f>
        <v>2</v>
      </c>
      <c r="M131" s="1">
        <f>(EDATE(personel[[#This Row],[Date d''entrée]], 12))</f>
        <v>45729</v>
      </c>
    </row>
    <row r="132" spans="1:13" x14ac:dyDescent="0.25">
      <c r="A132" t="s">
        <v>361</v>
      </c>
      <c r="B132" t="s">
        <v>362</v>
      </c>
      <c r="C132" t="s">
        <v>363</v>
      </c>
      <c r="D132" s="11" t="s">
        <v>13</v>
      </c>
      <c r="E132" s="1">
        <v>36954</v>
      </c>
      <c r="F132" s="1">
        <v>45162</v>
      </c>
      <c r="G132" t="s">
        <v>42</v>
      </c>
      <c r="H132" t="s">
        <v>15</v>
      </c>
      <c r="I132" t="s">
        <v>26</v>
      </c>
      <c r="J132" s="13">
        <v>2069.6</v>
      </c>
      <c r="K132" s="36">
        <f ca="1">DATEDIF(personel[[#This Row],[Date de naissance]], TODAY(), "Y")</f>
        <v>25</v>
      </c>
      <c r="L132" s="36">
        <f ca="1">DATEDIF(personel[[#This Row],[Date d''entrée]], TODAY(), "Y")</f>
        <v>2</v>
      </c>
      <c r="M132" s="1">
        <f>(EDATE(personel[[#This Row],[Date d''entrée]], 12))</f>
        <v>45528</v>
      </c>
    </row>
    <row r="133" spans="1:13" x14ac:dyDescent="0.25">
      <c r="A133" t="s">
        <v>364</v>
      </c>
      <c r="B133" t="s">
        <v>309</v>
      </c>
      <c r="C133" t="s">
        <v>365</v>
      </c>
      <c r="D133" s="11" t="s">
        <v>13</v>
      </c>
      <c r="E133" s="1">
        <v>24743</v>
      </c>
      <c r="F133" s="1">
        <v>42213</v>
      </c>
      <c r="G133" t="s">
        <v>14</v>
      </c>
      <c r="H133" t="s">
        <v>21</v>
      </c>
      <c r="I133" t="s">
        <v>16</v>
      </c>
      <c r="J133" s="13">
        <v>3041.14</v>
      </c>
      <c r="K133" s="36">
        <f ca="1">DATEDIF(personel[[#This Row],[Date de naissance]], TODAY(), "Y")</f>
        <v>58</v>
      </c>
      <c r="L133" s="36">
        <f ca="1">DATEDIF(personel[[#This Row],[Date d''entrée]], TODAY(), "Y")</f>
        <v>10</v>
      </c>
      <c r="M133" s="1">
        <f>(EDATE(personel[[#This Row],[Date d''entrée]], 12))</f>
        <v>42579</v>
      </c>
    </row>
    <row r="134" spans="1:13" x14ac:dyDescent="0.25">
      <c r="A134" t="s">
        <v>366</v>
      </c>
      <c r="B134" t="s">
        <v>367</v>
      </c>
      <c r="C134" t="s">
        <v>368</v>
      </c>
      <c r="D134" s="11" t="s">
        <v>13</v>
      </c>
      <c r="E134" s="1">
        <v>32580</v>
      </c>
      <c r="F134" s="1">
        <v>43831</v>
      </c>
      <c r="G134" t="s">
        <v>42</v>
      </c>
      <c r="H134" t="s">
        <v>25</v>
      </c>
      <c r="I134" t="s">
        <v>79</v>
      </c>
      <c r="J134" s="13">
        <v>2362.62</v>
      </c>
      <c r="K134" s="36">
        <f ca="1">DATEDIF(personel[[#This Row],[Date de naissance]], TODAY(), "Y")</f>
        <v>37</v>
      </c>
      <c r="L134" s="36">
        <f ca="1">DATEDIF(personel[[#This Row],[Date d''entrée]], TODAY(), "Y")</f>
        <v>6</v>
      </c>
      <c r="M134" s="1">
        <f>(EDATE(personel[[#This Row],[Date d''entrée]], 12))</f>
        <v>44197</v>
      </c>
    </row>
    <row r="135" spans="1:13" x14ac:dyDescent="0.25">
      <c r="A135" t="s">
        <v>369</v>
      </c>
      <c r="B135" t="s">
        <v>370</v>
      </c>
      <c r="C135" t="s">
        <v>206</v>
      </c>
      <c r="D135" s="11" t="s">
        <v>20</v>
      </c>
      <c r="E135" s="1">
        <v>32891</v>
      </c>
      <c r="F135" s="1">
        <v>42987</v>
      </c>
      <c r="G135" t="s">
        <v>42</v>
      </c>
      <c r="H135" t="s">
        <v>15</v>
      </c>
      <c r="I135" t="s">
        <v>16</v>
      </c>
      <c r="J135" s="13">
        <v>3284.16</v>
      </c>
      <c r="K135" s="36">
        <f ca="1">DATEDIF(personel[[#This Row],[Date de naissance]], TODAY(), "Y")</f>
        <v>36</v>
      </c>
      <c r="L135" s="36">
        <f ca="1">DATEDIF(personel[[#This Row],[Date d''entrée]], TODAY(), "Y")</f>
        <v>8</v>
      </c>
      <c r="M135" s="1">
        <f>(EDATE(personel[[#This Row],[Date d''entrée]], 12))</f>
        <v>43352</v>
      </c>
    </row>
    <row r="136" spans="1:13" x14ac:dyDescent="0.25">
      <c r="A136" t="s">
        <v>371</v>
      </c>
      <c r="B136" t="s">
        <v>372</v>
      </c>
      <c r="C136" t="s">
        <v>60</v>
      </c>
      <c r="D136" s="11" t="s">
        <v>20</v>
      </c>
      <c r="E136" s="1">
        <v>30782</v>
      </c>
      <c r="F136" s="1">
        <v>42940</v>
      </c>
      <c r="G136" t="s">
        <v>30</v>
      </c>
      <c r="H136" t="s">
        <v>49</v>
      </c>
      <c r="I136" t="s">
        <v>26</v>
      </c>
      <c r="J136" s="13">
        <v>2448.35</v>
      </c>
      <c r="K136" s="36">
        <f ca="1">DATEDIF(personel[[#This Row],[Date de naissance]], TODAY(), "Y")</f>
        <v>42</v>
      </c>
      <c r="L136" s="36">
        <f ca="1">DATEDIF(personel[[#This Row],[Date d''entrée]], TODAY(), "Y")</f>
        <v>8</v>
      </c>
      <c r="M136" s="1">
        <f>(EDATE(personel[[#This Row],[Date d''entrée]], 12))</f>
        <v>43305</v>
      </c>
    </row>
    <row r="137" spans="1:13" x14ac:dyDescent="0.25">
      <c r="A137" t="s">
        <v>373</v>
      </c>
      <c r="B137" t="s">
        <v>323</v>
      </c>
      <c r="C137" t="s">
        <v>374</v>
      </c>
      <c r="D137" s="11" t="s">
        <v>13</v>
      </c>
      <c r="E137" s="1">
        <v>37619</v>
      </c>
      <c r="F137" s="1">
        <v>45201</v>
      </c>
      <c r="G137" t="s">
        <v>30</v>
      </c>
      <c r="H137" t="s">
        <v>25</v>
      </c>
      <c r="I137" t="s">
        <v>26</v>
      </c>
      <c r="J137" s="13">
        <v>3929.96</v>
      </c>
      <c r="K137" s="36">
        <f ca="1">DATEDIF(personel[[#This Row],[Date de naissance]], TODAY(), "Y")</f>
        <v>23</v>
      </c>
      <c r="L137" s="36">
        <f ca="1">DATEDIF(personel[[#This Row],[Date d''entrée]], TODAY(), "Y")</f>
        <v>2</v>
      </c>
      <c r="M137" s="1">
        <f>(EDATE(personel[[#This Row],[Date d''entrée]], 12))</f>
        <v>45567</v>
      </c>
    </row>
    <row r="138" spans="1:13" x14ac:dyDescent="0.25">
      <c r="A138" t="s">
        <v>375</v>
      </c>
      <c r="B138" t="s">
        <v>376</v>
      </c>
      <c r="C138" t="s">
        <v>377</v>
      </c>
      <c r="D138" s="11" t="s">
        <v>20</v>
      </c>
      <c r="E138" s="1">
        <v>29194</v>
      </c>
      <c r="F138" s="1">
        <v>42819</v>
      </c>
      <c r="G138" t="s">
        <v>14</v>
      </c>
      <c r="H138" t="s">
        <v>49</v>
      </c>
      <c r="I138" t="s">
        <v>26</v>
      </c>
      <c r="J138" s="13">
        <v>2530.0500000000002</v>
      </c>
      <c r="K138" s="36">
        <f ca="1">DATEDIF(personel[[#This Row],[Date de naissance]], TODAY(), "Y")</f>
        <v>46</v>
      </c>
      <c r="L138" s="36">
        <f ca="1">DATEDIF(personel[[#This Row],[Date d''entrée]], TODAY(), "Y")</f>
        <v>9</v>
      </c>
      <c r="M138" s="1">
        <f>(EDATE(personel[[#This Row],[Date d''entrée]], 12))</f>
        <v>43184</v>
      </c>
    </row>
    <row r="139" spans="1:13" x14ac:dyDescent="0.25">
      <c r="A139" t="s">
        <v>378</v>
      </c>
      <c r="B139" t="s">
        <v>379</v>
      </c>
      <c r="C139" t="s">
        <v>19</v>
      </c>
      <c r="D139" s="11" t="s">
        <v>20</v>
      </c>
      <c r="E139" s="1">
        <v>37715</v>
      </c>
      <c r="F139" s="1">
        <v>43582</v>
      </c>
      <c r="G139" t="s">
        <v>14</v>
      </c>
      <c r="H139" t="s">
        <v>34</v>
      </c>
      <c r="I139" t="s">
        <v>26</v>
      </c>
      <c r="J139" s="13">
        <v>2806.76</v>
      </c>
      <c r="K139" s="36">
        <f ca="1">DATEDIF(personel[[#This Row],[Date de naissance]], TODAY(), "Y")</f>
        <v>23</v>
      </c>
      <c r="L139" s="36">
        <f ca="1">DATEDIF(personel[[#This Row],[Date d''entrée]], TODAY(), "Y")</f>
        <v>7</v>
      </c>
      <c r="M139" s="1">
        <f>(EDATE(personel[[#This Row],[Date d''entrée]], 12))</f>
        <v>43948</v>
      </c>
    </row>
    <row r="140" spans="1:13" x14ac:dyDescent="0.25">
      <c r="A140" t="s">
        <v>380</v>
      </c>
      <c r="B140" t="s">
        <v>362</v>
      </c>
      <c r="C140" t="s">
        <v>326</v>
      </c>
      <c r="D140" s="11" t="s">
        <v>20</v>
      </c>
      <c r="E140" s="1">
        <v>36912</v>
      </c>
      <c r="F140" s="1">
        <v>44137</v>
      </c>
      <c r="G140" t="s">
        <v>42</v>
      </c>
      <c r="H140" t="s">
        <v>38</v>
      </c>
      <c r="I140" t="s">
        <v>26</v>
      </c>
      <c r="J140" s="13">
        <v>3488.11</v>
      </c>
      <c r="K140" s="36">
        <f ca="1">DATEDIF(personel[[#This Row],[Date de naissance]], TODAY(), "Y")</f>
        <v>25</v>
      </c>
      <c r="L140" s="36">
        <f ca="1">DATEDIF(personel[[#This Row],[Date d''entrée]], TODAY(), "Y")</f>
        <v>5</v>
      </c>
      <c r="M140" s="1">
        <f>(EDATE(personel[[#This Row],[Date d''entrée]], 12))</f>
        <v>44502</v>
      </c>
    </row>
    <row r="141" spans="1:13" x14ac:dyDescent="0.25">
      <c r="A141" t="s">
        <v>381</v>
      </c>
      <c r="B141" t="s">
        <v>253</v>
      </c>
      <c r="C141" t="s">
        <v>382</v>
      </c>
      <c r="D141" s="11" t="s">
        <v>20</v>
      </c>
      <c r="E141" s="1">
        <v>32224</v>
      </c>
      <c r="F141" s="1">
        <v>42256</v>
      </c>
      <c r="G141" t="s">
        <v>14</v>
      </c>
      <c r="H141" t="s">
        <v>34</v>
      </c>
      <c r="I141" t="s">
        <v>16</v>
      </c>
      <c r="J141" s="13">
        <v>2261.48</v>
      </c>
      <c r="K141" s="36">
        <f ca="1">DATEDIF(personel[[#This Row],[Date de naissance]], TODAY(), "Y")</f>
        <v>38</v>
      </c>
      <c r="L141" s="36">
        <f ca="1">DATEDIF(personel[[#This Row],[Date d''entrée]], TODAY(), "Y")</f>
        <v>10</v>
      </c>
      <c r="M141" s="1">
        <f>(EDATE(personel[[#This Row],[Date d''entrée]], 12))</f>
        <v>42622</v>
      </c>
    </row>
    <row r="142" spans="1:13" x14ac:dyDescent="0.25">
      <c r="A142" t="s">
        <v>383</v>
      </c>
      <c r="B142" t="s">
        <v>384</v>
      </c>
      <c r="C142" t="s">
        <v>149</v>
      </c>
      <c r="D142" s="11" t="s">
        <v>20</v>
      </c>
      <c r="E142" s="1">
        <v>33689</v>
      </c>
      <c r="F142" s="1">
        <v>44104</v>
      </c>
      <c r="G142" t="s">
        <v>42</v>
      </c>
      <c r="H142" t="s">
        <v>15</v>
      </c>
      <c r="I142" t="s">
        <v>26</v>
      </c>
      <c r="J142" s="13">
        <v>3136.48</v>
      </c>
      <c r="K142" s="36">
        <f ca="1">DATEDIF(personel[[#This Row],[Date de naissance]], TODAY(), "Y")</f>
        <v>34</v>
      </c>
      <c r="L142" s="36">
        <f ca="1">DATEDIF(personel[[#This Row],[Date d''entrée]], TODAY(), "Y")</f>
        <v>5</v>
      </c>
      <c r="M142" s="1">
        <f>(EDATE(personel[[#This Row],[Date d''entrée]], 12))</f>
        <v>44469</v>
      </c>
    </row>
    <row r="143" spans="1:13" x14ac:dyDescent="0.25">
      <c r="A143" t="s">
        <v>385</v>
      </c>
      <c r="B143" t="s">
        <v>386</v>
      </c>
      <c r="C143" t="s">
        <v>387</v>
      </c>
      <c r="D143" s="11" t="s">
        <v>20</v>
      </c>
      <c r="E143" s="1">
        <v>34361</v>
      </c>
      <c r="F143" s="1">
        <v>44972</v>
      </c>
      <c r="G143" t="s">
        <v>42</v>
      </c>
      <c r="H143" t="s">
        <v>25</v>
      </c>
      <c r="I143" t="s">
        <v>16</v>
      </c>
      <c r="J143" s="13">
        <v>3784.29</v>
      </c>
      <c r="K143" s="36">
        <f ca="1">DATEDIF(personel[[#This Row],[Date de naissance]], TODAY(), "Y")</f>
        <v>32</v>
      </c>
      <c r="L143" s="36">
        <f ca="1">DATEDIF(personel[[#This Row],[Date d''entrée]], TODAY(), "Y")</f>
        <v>3</v>
      </c>
      <c r="M143" s="1">
        <f>(EDATE(personel[[#This Row],[Date d''entrée]], 12))</f>
        <v>45337</v>
      </c>
    </row>
    <row r="144" spans="1:13" x14ac:dyDescent="0.25">
      <c r="A144" t="s">
        <v>388</v>
      </c>
      <c r="B144" t="s">
        <v>389</v>
      </c>
      <c r="C144" t="s">
        <v>390</v>
      </c>
      <c r="D144" s="11" t="s">
        <v>13</v>
      </c>
      <c r="E144" s="1">
        <v>28117</v>
      </c>
      <c r="F144" s="1">
        <v>42525</v>
      </c>
      <c r="G144" t="s">
        <v>42</v>
      </c>
      <c r="H144" t="s">
        <v>49</v>
      </c>
      <c r="I144" t="s">
        <v>26</v>
      </c>
      <c r="J144" s="13">
        <v>2035.51</v>
      </c>
      <c r="K144" s="36">
        <f ca="1">DATEDIF(personel[[#This Row],[Date de naissance]], TODAY(), "Y")</f>
        <v>49</v>
      </c>
      <c r="L144" s="36">
        <f ca="1">DATEDIF(personel[[#This Row],[Date d''entrée]], TODAY(), "Y")</f>
        <v>9</v>
      </c>
      <c r="M144" s="1">
        <f>(EDATE(personel[[#This Row],[Date d''entrée]], 12))</f>
        <v>42890</v>
      </c>
    </row>
    <row r="145" spans="1:13" x14ac:dyDescent="0.25">
      <c r="A145" t="s">
        <v>391</v>
      </c>
      <c r="B145" t="s">
        <v>392</v>
      </c>
      <c r="C145" t="s">
        <v>393</v>
      </c>
      <c r="D145" s="11" t="s">
        <v>20</v>
      </c>
      <c r="E145" s="1">
        <v>35035</v>
      </c>
      <c r="F145" s="1">
        <v>44357</v>
      </c>
      <c r="G145" t="s">
        <v>42</v>
      </c>
      <c r="H145" t="s">
        <v>21</v>
      </c>
      <c r="I145" t="s">
        <v>26</v>
      </c>
      <c r="J145" s="13">
        <v>3110.78</v>
      </c>
      <c r="K145" s="36">
        <f ca="1">DATEDIF(personel[[#This Row],[Date de naissance]], TODAY(), "Y")</f>
        <v>30</v>
      </c>
      <c r="L145" s="36">
        <f ca="1">DATEDIF(personel[[#This Row],[Date d''entrée]], TODAY(), "Y")</f>
        <v>4</v>
      </c>
      <c r="M145" s="1">
        <f>(EDATE(personel[[#This Row],[Date d''entrée]], 12))</f>
        <v>44722</v>
      </c>
    </row>
    <row r="146" spans="1:13" x14ac:dyDescent="0.25">
      <c r="A146" t="s">
        <v>394</v>
      </c>
      <c r="B146" t="s">
        <v>309</v>
      </c>
      <c r="C146" t="s">
        <v>395</v>
      </c>
      <c r="D146" s="11" t="s">
        <v>20</v>
      </c>
      <c r="E146" s="1">
        <v>36310</v>
      </c>
      <c r="F146" s="1">
        <v>44255</v>
      </c>
      <c r="G146" t="s">
        <v>14</v>
      </c>
      <c r="H146" t="s">
        <v>38</v>
      </c>
      <c r="I146" t="s">
        <v>16</v>
      </c>
      <c r="J146" s="13">
        <v>3155.93</v>
      </c>
      <c r="K146" s="36">
        <f ca="1">DATEDIF(personel[[#This Row],[Date de naissance]], TODAY(), "Y")</f>
        <v>26</v>
      </c>
      <c r="L146" s="36">
        <f ca="1">DATEDIF(personel[[#This Row],[Date d''entrée]], TODAY(), "Y")</f>
        <v>5</v>
      </c>
      <c r="M146" s="1">
        <f>(EDATE(personel[[#This Row],[Date d''entrée]], 12))</f>
        <v>44620</v>
      </c>
    </row>
    <row r="147" spans="1:13" x14ac:dyDescent="0.25">
      <c r="A147" t="s">
        <v>396</v>
      </c>
      <c r="B147" t="s">
        <v>54</v>
      </c>
      <c r="C147" t="s">
        <v>397</v>
      </c>
      <c r="D147" s="11" t="s">
        <v>20</v>
      </c>
      <c r="E147" s="1">
        <v>36399</v>
      </c>
      <c r="F147" s="1">
        <v>44154</v>
      </c>
      <c r="G147" t="s">
        <v>30</v>
      </c>
      <c r="H147" t="s">
        <v>21</v>
      </c>
      <c r="I147" t="s">
        <v>26</v>
      </c>
      <c r="J147" s="13">
        <v>3469.09</v>
      </c>
      <c r="K147" s="36">
        <f ca="1">DATEDIF(personel[[#This Row],[Date de naissance]], TODAY(), "Y")</f>
        <v>26</v>
      </c>
      <c r="L147" s="36">
        <f ca="1">DATEDIF(personel[[#This Row],[Date d''entrée]], TODAY(), "Y")</f>
        <v>5</v>
      </c>
      <c r="M147" s="1">
        <f>(EDATE(personel[[#This Row],[Date d''entrée]], 12))</f>
        <v>44519</v>
      </c>
    </row>
    <row r="148" spans="1:13" x14ac:dyDescent="0.25">
      <c r="A148" t="s">
        <v>398</v>
      </c>
      <c r="B148" t="s">
        <v>221</v>
      </c>
      <c r="C148" t="s">
        <v>399</v>
      </c>
      <c r="D148" s="11" t="s">
        <v>13</v>
      </c>
      <c r="E148" s="1">
        <v>36220</v>
      </c>
      <c r="F148" s="1">
        <v>42432</v>
      </c>
      <c r="G148" t="s">
        <v>30</v>
      </c>
      <c r="H148" t="s">
        <v>49</v>
      </c>
      <c r="I148" t="s">
        <v>26</v>
      </c>
      <c r="J148" s="13">
        <v>2257.83</v>
      </c>
      <c r="K148" s="36">
        <f ca="1">DATEDIF(personel[[#This Row],[Date de naissance]], TODAY(), "Y")</f>
        <v>27</v>
      </c>
      <c r="L148" s="36">
        <f ca="1">DATEDIF(personel[[#This Row],[Date d''entrée]], TODAY(), "Y")</f>
        <v>10</v>
      </c>
      <c r="M148" s="1">
        <f>(EDATE(personel[[#This Row],[Date d''entrée]], 12))</f>
        <v>42797</v>
      </c>
    </row>
    <row r="149" spans="1:13" x14ac:dyDescent="0.25">
      <c r="A149" t="s">
        <v>400</v>
      </c>
      <c r="B149" t="s">
        <v>401</v>
      </c>
      <c r="C149" t="s">
        <v>151</v>
      </c>
      <c r="D149" s="11" t="s">
        <v>13</v>
      </c>
      <c r="E149" s="1">
        <v>37427</v>
      </c>
      <c r="F149" s="1">
        <v>44496</v>
      </c>
      <c r="G149" t="s">
        <v>14</v>
      </c>
      <c r="H149" t="s">
        <v>34</v>
      </c>
      <c r="I149" t="s">
        <v>79</v>
      </c>
      <c r="J149" s="13">
        <v>2207.73</v>
      </c>
      <c r="K149" s="36">
        <f ca="1">DATEDIF(personel[[#This Row],[Date de naissance]], TODAY(), "Y")</f>
        <v>23</v>
      </c>
      <c r="L149" s="36">
        <f ca="1">DATEDIF(personel[[#This Row],[Date d''entrée]], TODAY(), "Y")</f>
        <v>4</v>
      </c>
      <c r="M149" s="1">
        <f>(EDATE(personel[[#This Row],[Date d''entrée]], 12))</f>
        <v>44861</v>
      </c>
    </row>
    <row r="150" spans="1:13" x14ac:dyDescent="0.25">
      <c r="A150" t="s">
        <v>402</v>
      </c>
      <c r="B150" t="s">
        <v>403</v>
      </c>
      <c r="C150" t="s">
        <v>404</v>
      </c>
      <c r="D150" s="11" t="s">
        <v>13</v>
      </c>
      <c r="E150" s="1">
        <v>37483</v>
      </c>
      <c r="F150" s="1">
        <v>43879</v>
      </c>
      <c r="G150" t="s">
        <v>30</v>
      </c>
      <c r="H150" t="s">
        <v>34</v>
      </c>
      <c r="I150" t="s">
        <v>16</v>
      </c>
      <c r="J150" s="13">
        <v>3313.16</v>
      </c>
      <c r="K150" s="36">
        <f ca="1">DATEDIF(personel[[#This Row],[Date de naissance]], TODAY(), "Y")</f>
        <v>23</v>
      </c>
      <c r="L150" s="36">
        <f ca="1">DATEDIF(personel[[#This Row],[Date d''entrée]], TODAY(), "Y")</f>
        <v>6</v>
      </c>
      <c r="M150" s="1">
        <f>(EDATE(personel[[#This Row],[Date d''entrée]], 12))</f>
        <v>44245</v>
      </c>
    </row>
    <row r="151" spans="1:13" x14ac:dyDescent="0.25">
      <c r="A151" t="s">
        <v>405</v>
      </c>
      <c r="B151" t="s">
        <v>357</v>
      </c>
      <c r="C151" t="s">
        <v>406</v>
      </c>
      <c r="D151" s="11" t="s">
        <v>20</v>
      </c>
      <c r="E151" s="1">
        <v>25684</v>
      </c>
      <c r="F151" s="1">
        <v>43478</v>
      </c>
      <c r="G151" t="s">
        <v>14</v>
      </c>
      <c r="H151" t="s">
        <v>15</v>
      </c>
      <c r="I151" t="s">
        <v>26</v>
      </c>
      <c r="J151" s="13">
        <v>3178.19</v>
      </c>
      <c r="K151" s="36">
        <f ca="1">DATEDIF(personel[[#This Row],[Date de naissance]], TODAY(), "Y")</f>
        <v>56</v>
      </c>
      <c r="L151" s="36">
        <f ca="1">DATEDIF(personel[[#This Row],[Date d''entrée]], TODAY(), "Y")</f>
        <v>7</v>
      </c>
      <c r="M151" s="1">
        <f>(EDATE(personel[[#This Row],[Date d''entrée]], 12))</f>
        <v>43843</v>
      </c>
    </row>
    <row r="152" spans="1:13" x14ac:dyDescent="0.25">
      <c r="A152" t="s">
        <v>407</v>
      </c>
      <c r="B152" t="s">
        <v>408</v>
      </c>
      <c r="C152" t="s">
        <v>409</v>
      </c>
      <c r="D152" s="11" t="s">
        <v>20</v>
      </c>
      <c r="E152" s="1">
        <v>26008</v>
      </c>
      <c r="F152" s="1">
        <v>44546</v>
      </c>
      <c r="G152" t="s">
        <v>42</v>
      </c>
      <c r="H152" t="s">
        <v>49</v>
      </c>
      <c r="I152" t="s">
        <v>16</v>
      </c>
      <c r="J152" s="13">
        <v>3150.3</v>
      </c>
      <c r="K152" s="36">
        <f ca="1">DATEDIF(personel[[#This Row],[Date de naissance]], TODAY(), "Y")</f>
        <v>55</v>
      </c>
      <c r="L152" s="36">
        <f ca="1">DATEDIF(personel[[#This Row],[Date d''entrée]], TODAY(), "Y")</f>
        <v>4</v>
      </c>
      <c r="M152" s="1">
        <f>(EDATE(personel[[#This Row],[Date d''entrée]], 12))</f>
        <v>44911</v>
      </c>
    </row>
    <row r="153" spans="1:13" x14ac:dyDescent="0.25">
      <c r="A153" t="s">
        <v>410</v>
      </c>
      <c r="B153" t="s">
        <v>411</v>
      </c>
      <c r="C153" t="s">
        <v>412</v>
      </c>
      <c r="D153" s="11" t="s">
        <v>20</v>
      </c>
      <c r="E153" s="1">
        <v>24469</v>
      </c>
      <c r="F153" s="1">
        <v>43592</v>
      </c>
      <c r="G153" t="s">
        <v>14</v>
      </c>
      <c r="H153" t="s">
        <v>15</v>
      </c>
      <c r="I153" t="s">
        <v>26</v>
      </c>
      <c r="J153" s="13">
        <v>3207.87</v>
      </c>
      <c r="K153" s="36">
        <f ca="1">DATEDIF(personel[[#This Row],[Date de naissance]], TODAY(), "Y")</f>
        <v>59</v>
      </c>
      <c r="L153" s="36">
        <f ca="1">DATEDIF(personel[[#This Row],[Date d''entrée]], TODAY(), "Y")</f>
        <v>7</v>
      </c>
      <c r="M153" s="1">
        <f>(EDATE(personel[[#This Row],[Date d''entrée]], 12))</f>
        <v>43958</v>
      </c>
    </row>
    <row r="154" spans="1:13" x14ac:dyDescent="0.25">
      <c r="A154" t="s">
        <v>413</v>
      </c>
      <c r="B154" t="s">
        <v>414</v>
      </c>
      <c r="C154" t="s">
        <v>415</v>
      </c>
      <c r="D154" s="11" t="s">
        <v>20</v>
      </c>
      <c r="E154" s="1">
        <v>24294</v>
      </c>
      <c r="F154" s="1">
        <v>44979</v>
      </c>
      <c r="G154" t="s">
        <v>14</v>
      </c>
      <c r="H154" t="s">
        <v>21</v>
      </c>
      <c r="I154" t="s">
        <v>79</v>
      </c>
      <c r="J154" s="13">
        <v>2591.9899999999998</v>
      </c>
      <c r="K154" s="36">
        <f ca="1">DATEDIF(personel[[#This Row],[Date de naissance]], TODAY(), "Y")</f>
        <v>59</v>
      </c>
      <c r="L154" s="36">
        <f ca="1">DATEDIF(personel[[#This Row],[Date d''entrée]], TODAY(), "Y")</f>
        <v>3</v>
      </c>
      <c r="M154" s="1">
        <f>(EDATE(personel[[#This Row],[Date d''entrée]], 12))</f>
        <v>45344</v>
      </c>
    </row>
    <row r="155" spans="1:13" x14ac:dyDescent="0.25">
      <c r="A155" t="s">
        <v>416</v>
      </c>
      <c r="B155" t="s">
        <v>145</v>
      </c>
      <c r="C155" t="s">
        <v>417</v>
      </c>
      <c r="D155" s="11" t="s">
        <v>20</v>
      </c>
      <c r="E155" s="1">
        <v>23069</v>
      </c>
      <c r="F155" s="1">
        <v>44617</v>
      </c>
      <c r="G155" t="s">
        <v>30</v>
      </c>
      <c r="H155" t="s">
        <v>21</v>
      </c>
      <c r="I155" t="s">
        <v>16</v>
      </c>
      <c r="J155" s="13">
        <v>3139.35</v>
      </c>
      <c r="K155" s="36">
        <f ca="1">DATEDIF(personel[[#This Row],[Date de naissance]], TODAY(), "Y")</f>
        <v>63</v>
      </c>
      <c r="L155" s="36">
        <f ca="1">DATEDIF(personel[[#This Row],[Date d''entrée]], TODAY(), "Y")</f>
        <v>4</v>
      </c>
      <c r="M155" s="1">
        <f>(EDATE(personel[[#This Row],[Date d''entrée]], 12))</f>
        <v>44982</v>
      </c>
    </row>
    <row r="156" spans="1:13" x14ac:dyDescent="0.25">
      <c r="A156" t="s">
        <v>418</v>
      </c>
      <c r="B156" t="s">
        <v>203</v>
      </c>
      <c r="C156" t="s">
        <v>151</v>
      </c>
      <c r="D156" s="11" t="s">
        <v>20</v>
      </c>
      <c r="E156" s="1">
        <v>28969</v>
      </c>
      <c r="F156" s="1">
        <v>43936</v>
      </c>
      <c r="G156" t="s">
        <v>30</v>
      </c>
      <c r="H156" t="s">
        <v>15</v>
      </c>
      <c r="I156" t="s">
        <v>26</v>
      </c>
      <c r="J156" s="13">
        <v>3175.84</v>
      </c>
      <c r="K156" s="36">
        <f ca="1">DATEDIF(personel[[#This Row],[Date de naissance]], TODAY(), "Y")</f>
        <v>47</v>
      </c>
      <c r="L156" s="36">
        <f ca="1">DATEDIF(personel[[#This Row],[Date d''entrée]], TODAY(), "Y")</f>
        <v>6</v>
      </c>
      <c r="M156" s="1">
        <f>(EDATE(personel[[#This Row],[Date d''entrée]], 12))</f>
        <v>44301</v>
      </c>
    </row>
    <row r="157" spans="1:13" x14ac:dyDescent="0.25">
      <c r="A157" t="s">
        <v>419</v>
      </c>
      <c r="B157" t="s">
        <v>420</v>
      </c>
      <c r="C157" t="s">
        <v>421</v>
      </c>
      <c r="D157" s="11" t="s">
        <v>13</v>
      </c>
      <c r="E157" s="1">
        <v>28298</v>
      </c>
      <c r="F157" s="1">
        <v>42526</v>
      </c>
      <c r="G157" t="s">
        <v>42</v>
      </c>
      <c r="H157" t="s">
        <v>49</v>
      </c>
      <c r="I157" t="s">
        <v>26</v>
      </c>
      <c r="J157" s="13">
        <v>2571.39</v>
      </c>
      <c r="K157" s="36">
        <f ca="1">DATEDIF(personel[[#This Row],[Date de naissance]], TODAY(), "Y")</f>
        <v>48</v>
      </c>
      <c r="L157" s="36">
        <f ca="1">DATEDIF(personel[[#This Row],[Date d''entrée]], TODAY(), "Y")</f>
        <v>9</v>
      </c>
      <c r="M157" s="1">
        <f>(EDATE(personel[[#This Row],[Date d''entrée]], 12))</f>
        <v>42891</v>
      </c>
    </row>
    <row r="158" spans="1:13" x14ac:dyDescent="0.25">
      <c r="A158" t="s">
        <v>422</v>
      </c>
      <c r="B158" t="s">
        <v>357</v>
      </c>
      <c r="C158" t="s">
        <v>417</v>
      </c>
      <c r="D158" s="11" t="s">
        <v>13</v>
      </c>
      <c r="E158" s="1">
        <v>24902</v>
      </c>
      <c r="F158" s="1">
        <v>44999</v>
      </c>
      <c r="G158" t="s">
        <v>30</v>
      </c>
      <c r="H158" t="s">
        <v>15</v>
      </c>
      <c r="I158" t="s">
        <v>26</v>
      </c>
      <c r="J158" s="13">
        <v>4119.46</v>
      </c>
      <c r="K158" s="36">
        <f ca="1">DATEDIF(personel[[#This Row],[Date de naissance]], TODAY(), "Y")</f>
        <v>58</v>
      </c>
      <c r="L158" s="36">
        <f ca="1">DATEDIF(personel[[#This Row],[Date d''entrée]], TODAY(), "Y")</f>
        <v>3</v>
      </c>
      <c r="M158" s="1">
        <f>(EDATE(personel[[#This Row],[Date d''entrée]], 12))</f>
        <v>45365</v>
      </c>
    </row>
    <row r="159" spans="1:13" x14ac:dyDescent="0.25">
      <c r="A159" t="s">
        <v>423</v>
      </c>
      <c r="B159" t="s">
        <v>420</v>
      </c>
      <c r="C159" t="s">
        <v>307</v>
      </c>
      <c r="D159" s="11" t="s">
        <v>13</v>
      </c>
      <c r="E159" s="1">
        <v>32849</v>
      </c>
      <c r="F159" s="1">
        <v>42462</v>
      </c>
      <c r="G159" t="s">
        <v>30</v>
      </c>
      <c r="H159" t="s">
        <v>49</v>
      </c>
      <c r="I159" t="s">
        <v>26</v>
      </c>
      <c r="J159" s="13">
        <v>3284.3</v>
      </c>
      <c r="K159" s="36">
        <f ca="1">DATEDIF(personel[[#This Row],[Date de naissance]], TODAY(), "Y")</f>
        <v>36</v>
      </c>
      <c r="L159" s="36">
        <f ca="1">DATEDIF(personel[[#This Row],[Date d''entrée]], TODAY(), "Y")</f>
        <v>10</v>
      </c>
      <c r="M159" s="1">
        <f>(EDATE(personel[[#This Row],[Date d''entrée]], 12))</f>
        <v>42827</v>
      </c>
    </row>
    <row r="160" spans="1:13" x14ac:dyDescent="0.25">
      <c r="A160" t="s">
        <v>424</v>
      </c>
      <c r="B160" t="s">
        <v>425</v>
      </c>
      <c r="C160" t="s">
        <v>118</v>
      </c>
      <c r="D160" s="11" t="s">
        <v>20</v>
      </c>
      <c r="E160" s="1">
        <v>28231</v>
      </c>
      <c r="F160" s="1">
        <v>45145</v>
      </c>
      <c r="G160" t="s">
        <v>42</v>
      </c>
      <c r="H160" t="s">
        <v>21</v>
      </c>
      <c r="I160" t="s">
        <v>26</v>
      </c>
      <c r="J160" s="13">
        <v>2285.2199999999998</v>
      </c>
      <c r="K160" s="36">
        <f ca="1">DATEDIF(personel[[#This Row],[Date de naissance]], TODAY(), "Y")</f>
        <v>49</v>
      </c>
      <c r="L160" s="36">
        <f ca="1">DATEDIF(personel[[#This Row],[Date d''entrée]], TODAY(), "Y")</f>
        <v>2</v>
      </c>
      <c r="M160" s="1">
        <f>(EDATE(personel[[#This Row],[Date d''entrée]], 12))</f>
        <v>45511</v>
      </c>
    </row>
    <row r="161" spans="1:13" x14ac:dyDescent="0.25">
      <c r="A161" t="s">
        <v>426</v>
      </c>
      <c r="B161" t="s">
        <v>427</v>
      </c>
      <c r="C161" t="s">
        <v>118</v>
      </c>
      <c r="D161" s="11" t="s">
        <v>20</v>
      </c>
      <c r="E161" s="1">
        <v>36646</v>
      </c>
      <c r="F161" s="1">
        <v>42717</v>
      </c>
      <c r="G161" t="s">
        <v>14</v>
      </c>
      <c r="H161" t="s">
        <v>15</v>
      </c>
      <c r="I161" t="s">
        <v>79</v>
      </c>
      <c r="J161" s="13">
        <v>3393.93</v>
      </c>
      <c r="K161" s="36">
        <f ca="1">DATEDIF(personel[[#This Row],[Date de naissance]], TODAY(), "Y")</f>
        <v>26</v>
      </c>
      <c r="L161" s="36">
        <f ca="1">DATEDIF(personel[[#This Row],[Date d''entrée]], TODAY(), "Y")</f>
        <v>9</v>
      </c>
      <c r="M161" s="1">
        <f>(EDATE(personel[[#This Row],[Date d''entrée]], 12))</f>
        <v>43082</v>
      </c>
    </row>
    <row r="162" spans="1:13" x14ac:dyDescent="0.25">
      <c r="A162" t="s">
        <v>428</v>
      </c>
      <c r="B162" t="s">
        <v>429</v>
      </c>
      <c r="C162" t="s">
        <v>96</v>
      </c>
      <c r="D162" s="11" t="s">
        <v>20</v>
      </c>
      <c r="E162" s="1">
        <v>36130</v>
      </c>
      <c r="F162" s="1">
        <v>42520</v>
      </c>
      <c r="G162" t="s">
        <v>42</v>
      </c>
      <c r="H162" t="s">
        <v>49</v>
      </c>
      <c r="I162" t="s">
        <v>16</v>
      </c>
      <c r="J162" s="13">
        <v>2415.19</v>
      </c>
      <c r="K162" s="36">
        <f ca="1">DATEDIF(personel[[#This Row],[Date de naissance]], TODAY(), "Y")</f>
        <v>27</v>
      </c>
      <c r="L162" s="36">
        <f ca="1">DATEDIF(personel[[#This Row],[Date d''entrée]], TODAY(), "Y")</f>
        <v>9</v>
      </c>
      <c r="M162" s="1">
        <f>(EDATE(personel[[#This Row],[Date d''entrée]], 12))</f>
        <v>42885</v>
      </c>
    </row>
    <row r="163" spans="1:13" x14ac:dyDescent="0.25">
      <c r="A163" t="s">
        <v>430</v>
      </c>
      <c r="B163" t="s">
        <v>68</v>
      </c>
      <c r="C163" t="s">
        <v>431</v>
      </c>
      <c r="D163" s="11" t="s">
        <v>20</v>
      </c>
      <c r="E163" s="1">
        <v>25991</v>
      </c>
      <c r="F163" s="1">
        <v>45668</v>
      </c>
      <c r="G163" t="s">
        <v>42</v>
      </c>
      <c r="H163" t="s">
        <v>38</v>
      </c>
      <c r="I163" t="s">
        <v>26</v>
      </c>
      <c r="J163" s="13">
        <v>3472.25</v>
      </c>
      <c r="K163" s="36">
        <f ca="1">DATEDIF(personel[[#This Row],[Date de naissance]], TODAY(), "Y")</f>
        <v>55</v>
      </c>
      <c r="L163" s="36">
        <f ca="1">DATEDIF(personel[[#This Row],[Date d''entrée]], TODAY(), "Y")</f>
        <v>1</v>
      </c>
      <c r="M163" s="1">
        <f>(EDATE(personel[[#This Row],[Date d''entrée]], 12))</f>
        <v>46033</v>
      </c>
    </row>
    <row r="164" spans="1:13" x14ac:dyDescent="0.25">
      <c r="A164" t="s">
        <v>432</v>
      </c>
      <c r="B164" t="s">
        <v>433</v>
      </c>
      <c r="C164" t="s">
        <v>434</v>
      </c>
      <c r="D164" s="11" t="s">
        <v>13</v>
      </c>
      <c r="E164" s="1">
        <v>27084</v>
      </c>
      <c r="F164" s="1">
        <v>44297</v>
      </c>
      <c r="G164" t="s">
        <v>30</v>
      </c>
      <c r="H164" t="s">
        <v>15</v>
      </c>
      <c r="I164" t="s">
        <v>26</v>
      </c>
      <c r="J164" s="13">
        <v>3695.16</v>
      </c>
      <c r="K164" s="36">
        <f ca="1">DATEDIF(personel[[#This Row],[Date de naissance]], TODAY(), "Y")</f>
        <v>52</v>
      </c>
      <c r="L164" s="36">
        <f ca="1">DATEDIF(personel[[#This Row],[Date d''entrée]], TODAY(), "Y")</f>
        <v>5</v>
      </c>
      <c r="M164" s="1">
        <f>(EDATE(personel[[#This Row],[Date d''entrée]], 12))</f>
        <v>44662</v>
      </c>
    </row>
    <row r="165" spans="1:13" x14ac:dyDescent="0.25">
      <c r="A165" t="s">
        <v>435</v>
      </c>
      <c r="B165" t="s">
        <v>309</v>
      </c>
      <c r="C165" t="s">
        <v>219</v>
      </c>
      <c r="D165" s="11" t="s">
        <v>20</v>
      </c>
      <c r="E165" s="1">
        <v>27395</v>
      </c>
      <c r="F165" s="1">
        <v>45564</v>
      </c>
      <c r="G165" t="s">
        <v>14</v>
      </c>
      <c r="H165" t="s">
        <v>25</v>
      </c>
      <c r="I165" t="s">
        <v>26</v>
      </c>
      <c r="J165" s="13">
        <v>2507.59</v>
      </c>
      <c r="K165" s="36">
        <f ca="1">DATEDIF(personel[[#This Row],[Date de naissance]], TODAY(), "Y")</f>
        <v>51</v>
      </c>
      <c r="L165" s="36">
        <f ca="1">DATEDIF(personel[[#This Row],[Date d''entrée]], TODAY(), "Y")</f>
        <v>1</v>
      </c>
      <c r="M165" s="1">
        <f>(EDATE(personel[[#This Row],[Date d''entrée]], 12))</f>
        <v>45929</v>
      </c>
    </row>
    <row r="166" spans="1:13" x14ac:dyDescent="0.25">
      <c r="A166" t="s">
        <v>436</v>
      </c>
      <c r="B166" t="s">
        <v>437</v>
      </c>
      <c r="C166" t="s">
        <v>438</v>
      </c>
      <c r="D166" s="11" t="s">
        <v>20</v>
      </c>
      <c r="E166" s="1">
        <v>30013</v>
      </c>
      <c r="F166" s="1">
        <v>44221</v>
      </c>
      <c r="G166" t="s">
        <v>30</v>
      </c>
      <c r="H166" t="s">
        <v>25</v>
      </c>
      <c r="I166" t="s">
        <v>26</v>
      </c>
      <c r="J166" s="13">
        <v>3578.03</v>
      </c>
      <c r="K166" s="36">
        <f ca="1">DATEDIF(personel[[#This Row],[Date de naissance]], TODAY(), "Y")</f>
        <v>44</v>
      </c>
      <c r="L166" s="36">
        <f ca="1">DATEDIF(personel[[#This Row],[Date d''entrée]], TODAY(), "Y")</f>
        <v>5</v>
      </c>
      <c r="M166" s="1">
        <f>(EDATE(personel[[#This Row],[Date d''entrée]], 12))</f>
        <v>44586</v>
      </c>
    </row>
    <row r="167" spans="1:13" x14ac:dyDescent="0.25">
      <c r="A167" t="s">
        <v>439</v>
      </c>
      <c r="B167" t="s">
        <v>28</v>
      </c>
      <c r="C167" t="s">
        <v>29</v>
      </c>
      <c r="D167" s="11" t="s">
        <v>13</v>
      </c>
      <c r="E167" s="1">
        <v>33230</v>
      </c>
      <c r="F167" s="1">
        <v>43528</v>
      </c>
      <c r="G167" t="s">
        <v>30</v>
      </c>
      <c r="H167" t="s">
        <v>34</v>
      </c>
      <c r="I167" t="s">
        <v>16</v>
      </c>
      <c r="J167" s="13">
        <v>3247.67</v>
      </c>
      <c r="K167" s="36">
        <f ca="1">DATEDIF(personel[[#This Row],[Date de naissance]], TODAY(), "Y")</f>
        <v>35</v>
      </c>
      <c r="L167" s="36">
        <f ca="1">DATEDIF(personel[[#This Row],[Date d''entrée]], TODAY(), "Y")</f>
        <v>7</v>
      </c>
      <c r="M167" s="1">
        <f>(EDATE(personel[[#This Row],[Date d''entrée]], 12))</f>
        <v>43894</v>
      </c>
    </row>
    <row r="168" spans="1:13" x14ac:dyDescent="0.25">
      <c r="A168" t="s">
        <v>440</v>
      </c>
      <c r="B168" t="s">
        <v>441</v>
      </c>
      <c r="C168" t="s">
        <v>442</v>
      </c>
      <c r="D168" s="11" t="s">
        <v>20</v>
      </c>
      <c r="E168" s="1">
        <v>29176</v>
      </c>
      <c r="F168" s="1">
        <v>43304</v>
      </c>
      <c r="G168" t="s">
        <v>30</v>
      </c>
      <c r="H168" t="s">
        <v>34</v>
      </c>
      <c r="I168" t="s">
        <v>79</v>
      </c>
      <c r="J168" s="13">
        <v>3493.24</v>
      </c>
      <c r="K168" s="36">
        <f ca="1">DATEDIF(personel[[#This Row],[Date de naissance]], TODAY(), "Y")</f>
        <v>46</v>
      </c>
      <c r="L168" s="36">
        <f ca="1">DATEDIF(personel[[#This Row],[Date d''entrée]], TODAY(), "Y")</f>
        <v>7</v>
      </c>
      <c r="M168" s="1">
        <f>(EDATE(personel[[#This Row],[Date d''entrée]], 12))</f>
        <v>43669</v>
      </c>
    </row>
    <row r="169" spans="1:13" x14ac:dyDescent="0.25">
      <c r="A169" t="s">
        <v>443</v>
      </c>
      <c r="B169" t="s">
        <v>444</v>
      </c>
      <c r="C169" t="s">
        <v>445</v>
      </c>
      <c r="D169" s="11" t="s">
        <v>13</v>
      </c>
      <c r="E169" s="1">
        <v>27636</v>
      </c>
      <c r="F169" s="1">
        <v>44703</v>
      </c>
      <c r="G169" t="s">
        <v>14</v>
      </c>
      <c r="H169" t="s">
        <v>25</v>
      </c>
      <c r="I169" t="s">
        <v>26</v>
      </c>
      <c r="J169" s="13">
        <v>4138.08</v>
      </c>
      <c r="K169" s="36">
        <f ca="1">DATEDIF(personel[[#This Row],[Date de naissance]], TODAY(), "Y")</f>
        <v>50</v>
      </c>
      <c r="L169" s="36">
        <f ca="1">DATEDIF(personel[[#This Row],[Date d''entrée]], TODAY(), "Y")</f>
        <v>4</v>
      </c>
      <c r="M169" s="1">
        <f>(EDATE(personel[[#This Row],[Date d''entrée]], 12))</f>
        <v>45068</v>
      </c>
    </row>
    <row r="170" spans="1:13" x14ac:dyDescent="0.25">
      <c r="A170" t="s">
        <v>446</v>
      </c>
      <c r="B170" t="s">
        <v>115</v>
      </c>
      <c r="C170" t="s">
        <v>382</v>
      </c>
      <c r="D170" s="11" t="s">
        <v>13</v>
      </c>
      <c r="E170" s="1">
        <v>26159</v>
      </c>
      <c r="F170" s="1">
        <v>43140</v>
      </c>
      <c r="G170" t="s">
        <v>30</v>
      </c>
      <c r="H170" t="s">
        <v>21</v>
      </c>
      <c r="I170" t="s">
        <v>26</v>
      </c>
      <c r="J170" s="13">
        <v>2852.77</v>
      </c>
      <c r="K170" s="36">
        <f ca="1">DATEDIF(personel[[#This Row],[Date de naissance]], TODAY(), "Y")</f>
        <v>54</v>
      </c>
      <c r="L170" s="36">
        <f ca="1">DATEDIF(personel[[#This Row],[Date d''entrée]], TODAY(), "Y")</f>
        <v>8</v>
      </c>
      <c r="M170" s="1">
        <f>(EDATE(personel[[#This Row],[Date d''entrée]], 12))</f>
        <v>43505</v>
      </c>
    </row>
    <row r="171" spans="1:13" x14ac:dyDescent="0.25">
      <c r="A171" t="s">
        <v>447</v>
      </c>
      <c r="B171" t="s">
        <v>239</v>
      </c>
      <c r="C171" t="s">
        <v>118</v>
      </c>
      <c r="D171" s="11" t="s">
        <v>20</v>
      </c>
      <c r="E171" s="1">
        <v>36815</v>
      </c>
      <c r="F171" s="1">
        <v>42753</v>
      </c>
      <c r="G171" t="s">
        <v>14</v>
      </c>
      <c r="H171" t="s">
        <v>15</v>
      </c>
      <c r="I171" t="s">
        <v>79</v>
      </c>
      <c r="J171" s="13">
        <v>2547.7600000000002</v>
      </c>
      <c r="K171" s="36">
        <f ca="1">DATEDIF(personel[[#This Row],[Date de naissance]], TODAY(), "Y")</f>
        <v>25</v>
      </c>
      <c r="L171" s="36">
        <f ca="1">DATEDIF(personel[[#This Row],[Date d''entrée]], TODAY(), "Y")</f>
        <v>9</v>
      </c>
      <c r="M171" s="1">
        <f>(EDATE(personel[[#This Row],[Date d''entrée]], 12))</f>
        <v>43118</v>
      </c>
    </row>
    <row r="172" spans="1:13" x14ac:dyDescent="0.25">
      <c r="A172" t="s">
        <v>448</v>
      </c>
      <c r="B172" t="s">
        <v>449</v>
      </c>
      <c r="C172" t="s">
        <v>450</v>
      </c>
      <c r="D172" s="11" t="s">
        <v>13</v>
      </c>
      <c r="E172" s="1">
        <v>32447</v>
      </c>
      <c r="F172" s="1">
        <v>43184</v>
      </c>
      <c r="G172" t="s">
        <v>42</v>
      </c>
      <c r="H172" t="s">
        <v>21</v>
      </c>
      <c r="I172" t="s">
        <v>16</v>
      </c>
      <c r="J172" s="13">
        <v>2466.29</v>
      </c>
      <c r="K172" s="36">
        <f ca="1">DATEDIF(personel[[#This Row],[Date de naissance]], TODAY(), "Y")</f>
        <v>37</v>
      </c>
      <c r="L172" s="36">
        <f ca="1">DATEDIF(personel[[#This Row],[Date d''entrée]], TODAY(), "Y")</f>
        <v>8</v>
      </c>
      <c r="M172" s="1">
        <f>(EDATE(personel[[#This Row],[Date d''entrée]], 12))</f>
        <v>43549</v>
      </c>
    </row>
    <row r="173" spans="1:13" x14ac:dyDescent="0.25">
      <c r="A173" t="s">
        <v>451</v>
      </c>
      <c r="B173" t="s">
        <v>452</v>
      </c>
      <c r="C173" t="s">
        <v>55</v>
      </c>
      <c r="D173" s="11" t="s">
        <v>20</v>
      </c>
      <c r="E173" s="1">
        <v>32382</v>
      </c>
      <c r="F173" s="1">
        <v>45225</v>
      </c>
      <c r="G173" t="s">
        <v>30</v>
      </c>
      <c r="H173" t="s">
        <v>21</v>
      </c>
      <c r="I173" t="s">
        <v>26</v>
      </c>
      <c r="J173" s="13">
        <v>2510.5100000000002</v>
      </c>
      <c r="K173" s="36">
        <f ca="1">DATEDIF(personel[[#This Row],[Date de naissance]], TODAY(), "Y")</f>
        <v>37</v>
      </c>
      <c r="L173" s="36">
        <f ca="1">DATEDIF(personel[[#This Row],[Date d''entrée]], TODAY(), "Y")</f>
        <v>2</v>
      </c>
      <c r="M173" s="1">
        <f>(EDATE(personel[[#This Row],[Date d''entrée]], 12))</f>
        <v>45591</v>
      </c>
    </row>
    <row r="174" spans="1:13" x14ac:dyDescent="0.25">
      <c r="A174" t="s">
        <v>453</v>
      </c>
      <c r="B174" t="s">
        <v>427</v>
      </c>
      <c r="C174" t="s">
        <v>242</v>
      </c>
      <c r="D174" s="11" t="s">
        <v>13</v>
      </c>
      <c r="E174" s="1">
        <v>37423</v>
      </c>
      <c r="F174" s="1">
        <v>43639</v>
      </c>
      <c r="G174" t="s">
        <v>14</v>
      </c>
      <c r="H174" t="s">
        <v>25</v>
      </c>
      <c r="I174" t="s">
        <v>26</v>
      </c>
      <c r="J174" s="13">
        <v>2953.74</v>
      </c>
      <c r="K174" s="36">
        <f ca="1">DATEDIF(personel[[#This Row],[Date de naissance]], TODAY(), "Y")</f>
        <v>23</v>
      </c>
      <c r="L174" s="36">
        <f ca="1">DATEDIF(personel[[#This Row],[Date d''entrée]], TODAY(), "Y")</f>
        <v>6</v>
      </c>
      <c r="M174" s="1">
        <f>(EDATE(personel[[#This Row],[Date d''entrée]], 12))</f>
        <v>44005</v>
      </c>
    </row>
    <row r="175" spans="1:13" x14ac:dyDescent="0.25">
      <c r="A175" t="s">
        <v>454</v>
      </c>
      <c r="B175" t="s">
        <v>84</v>
      </c>
      <c r="C175" t="s">
        <v>19</v>
      </c>
      <c r="D175" s="11" t="s">
        <v>20</v>
      </c>
      <c r="E175" s="1">
        <v>32120</v>
      </c>
      <c r="F175" s="1">
        <v>42321</v>
      </c>
      <c r="G175" t="s">
        <v>30</v>
      </c>
      <c r="H175" t="s">
        <v>38</v>
      </c>
      <c r="I175" t="s">
        <v>79</v>
      </c>
      <c r="J175" s="13">
        <v>3204.69</v>
      </c>
      <c r="K175" s="36">
        <f ca="1">DATEDIF(personel[[#This Row],[Date de naissance]], TODAY(), "Y")</f>
        <v>38</v>
      </c>
      <c r="L175" s="36">
        <f ca="1">DATEDIF(personel[[#This Row],[Date d''entrée]], TODAY(), "Y")</f>
        <v>10</v>
      </c>
      <c r="M175" s="1">
        <f>(EDATE(personel[[#This Row],[Date d''entrée]], 12))</f>
        <v>42687</v>
      </c>
    </row>
    <row r="176" spans="1:13" x14ac:dyDescent="0.25">
      <c r="A176" t="s">
        <v>455</v>
      </c>
      <c r="B176" t="s">
        <v>456</v>
      </c>
      <c r="C176" t="s">
        <v>316</v>
      </c>
      <c r="D176" s="11" t="s">
        <v>20</v>
      </c>
      <c r="E176" s="1">
        <v>32265</v>
      </c>
      <c r="F176" s="1">
        <v>43231</v>
      </c>
      <c r="G176" t="s">
        <v>14</v>
      </c>
      <c r="H176" t="s">
        <v>38</v>
      </c>
      <c r="I176" t="s">
        <v>16</v>
      </c>
      <c r="J176" s="13">
        <v>3166.01</v>
      </c>
      <c r="K176" s="36">
        <f ca="1">DATEDIF(personel[[#This Row],[Date de naissance]], TODAY(), "Y")</f>
        <v>38</v>
      </c>
      <c r="L176" s="36">
        <f ca="1">DATEDIF(personel[[#This Row],[Date d''entrée]], TODAY(), "Y")</f>
        <v>8</v>
      </c>
      <c r="M176" s="1">
        <f>(EDATE(personel[[#This Row],[Date d''entrée]], 12))</f>
        <v>43596</v>
      </c>
    </row>
    <row r="177" spans="1:13" x14ac:dyDescent="0.25">
      <c r="A177" t="s">
        <v>457</v>
      </c>
      <c r="B177" t="s">
        <v>458</v>
      </c>
      <c r="C177" t="s">
        <v>195</v>
      </c>
      <c r="D177" s="11" t="s">
        <v>20</v>
      </c>
      <c r="E177" s="1">
        <v>31412</v>
      </c>
      <c r="F177" s="1">
        <v>44124</v>
      </c>
      <c r="G177" t="s">
        <v>14</v>
      </c>
      <c r="H177" t="s">
        <v>25</v>
      </c>
      <c r="I177" t="s">
        <v>26</v>
      </c>
      <c r="J177" s="13">
        <v>3496.31</v>
      </c>
      <c r="K177" s="36">
        <f ca="1">DATEDIF(personel[[#This Row],[Date de naissance]], TODAY(), "Y")</f>
        <v>40</v>
      </c>
      <c r="L177" s="36">
        <f ca="1">DATEDIF(personel[[#This Row],[Date d''entrée]], TODAY(), "Y")</f>
        <v>5</v>
      </c>
      <c r="M177" s="1">
        <f>(EDATE(personel[[#This Row],[Date d''entrée]], 12))</f>
        <v>44489</v>
      </c>
    </row>
    <row r="178" spans="1:13" x14ac:dyDescent="0.25">
      <c r="A178" t="s">
        <v>459</v>
      </c>
      <c r="B178" t="s">
        <v>460</v>
      </c>
      <c r="C178" t="s">
        <v>230</v>
      </c>
      <c r="D178" s="11" t="s">
        <v>20</v>
      </c>
      <c r="E178" s="1">
        <v>37127</v>
      </c>
      <c r="F178" s="1">
        <v>44010</v>
      </c>
      <c r="G178" t="s">
        <v>42</v>
      </c>
      <c r="H178" t="s">
        <v>49</v>
      </c>
      <c r="I178" t="s">
        <v>26</v>
      </c>
      <c r="J178" s="13">
        <v>3007.8</v>
      </c>
      <c r="K178" s="36">
        <f ca="1">DATEDIF(personel[[#This Row],[Date de naissance]], TODAY(), "Y")</f>
        <v>24</v>
      </c>
      <c r="L178" s="36">
        <f ca="1">DATEDIF(personel[[#This Row],[Date d''entrée]], TODAY(), "Y")</f>
        <v>5</v>
      </c>
      <c r="M178" s="1">
        <f>(EDATE(personel[[#This Row],[Date d''entrée]], 12))</f>
        <v>44375</v>
      </c>
    </row>
    <row r="179" spans="1:13" x14ac:dyDescent="0.25">
      <c r="A179" t="s">
        <v>461</v>
      </c>
      <c r="B179" t="s">
        <v>87</v>
      </c>
      <c r="C179" t="s">
        <v>462</v>
      </c>
      <c r="D179" s="11" t="s">
        <v>13</v>
      </c>
      <c r="E179" s="1">
        <v>30645</v>
      </c>
      <c r="F179" s="1">
        <v>45204</v>
      </c>
      <c r="G179" t="s">
        <v>42</v>
      </c>
      <c r="H179" t="s">
        <v>34</v>
      </c>
      <c r="I179" t="s">
        <v>26</v>
      </c>
      <c r="J179" s="13">
        <v>3872.12</v>
      </c>
      <c r="K179" s="36">
        <f ca="1">DATEDIF(personel[[#This Row],[Date de naissance]], TODAY(), "Y")</f>
        <v>42</v>
      </c>
      <c r="L179" s="36">
        <f ca="1">DATEDIF(personel[[#This Row],[Date d''entrée]], TODAY(), "Y")</f>
        <v>2</v>
      </c>
      <c r="M179" s="1">
        <f>(EDATE(personel[[#This Row],[Date d''entrée]], 12))</f>
        <v>45570</v>
      </c>
    </row>
    <row r="180" spans="1:13" x14ac:dyDescent="0.25">
      <c r="A180" t="s">
        <v>463</v>
      </c>
      <c r="B180" t="s">
        <v>178</v>
      </c>
      <c r="C180" t="s">
        <v>464</v>
      </c>
      <c r="D180" s="11" t="s">
        <v>20</v>
      </c>
      <c r="E180" s="1">
        <v>28031</v>
      </c>
      <c r="F180" s="1">
        <v>42955</v>
      </c>
      <c r="G180" t="s">
        <v>42</v>
      </c>
      <c r="H180" t="s">
        <v>34</v>
      </c>
      <c r="I180" t="s">
        <v>26</v>
      </c>
      <c r="J180" s="13">
        <v>2841.21</v>
      </c>
      <c r="K180" s="36">
        <f ca="1">DATEDIF(personel[[#This Row],[Date de naissance]], TODAY(), "Y")</f>
        <v>49</v>
      </c>
      <c r="L180" s="36">
        <f ca="1">DATEDIF(personel[[#This Row],[Date d''entrée]], TODAY(), "Y")</f>
        <v>8</v>
      </c>
      <c r="M180" s="1">
        <f>(EDATE(personel[[#This Row],[Date d''entrée]], 12))</f>
        <v>43320</v>
      </c>
    </row>
    <row r="181" spans="1:13" x14ac:dyDescent="0.25">
      <c r="A181" t="s">
        <v>465</v>
      </c>
      <c r="B181" t="s">
        <v>466</v>
      </c>
      <c r="C181" t="s">
        <v>233</v>
      </c>
      <c r="D181" s="11" t="s">
        <v>13</v>
      </c>
      <c r="E181" s="1">
        <v>30801</v>
      </c>
      <c r="F181" s="1">
        <v>45306</v>
      </c>
      <c r="G181" t="s">
        <v>42</v>
      </c>
      <c r="H181" t="s">
        <v>15</v>
      </c>
      <c r="I181" t="s">
        <v>26</v>
      </c>
      <c r="J181" s="13">
        <v>4632.1000000000004</v>
      </c>
      <c r="K181" s="36">
        <f ca="1">DATEDIF(personel[[#This Row],[Date de naissance]], TODAY(), "Y")</f>
        <v>42</v>
      </c>
      <c r="L181" s="36">
        <f ca="1">DATEDIF(personel[[#This Row],[Date d''entrée]], TODAY(), "Y")</f>
        <v>2</v>
      </c>
      <c r="M181" s="1">
        <f>(EDATE(personel[[#This Row],[Date d''entrée]], 12))</f>
        <v>45672</v>
      </c>
    </row>
    <row r="182" spans="1:13" x14ac:dyDescent="0.25">
      <c r="A182" t="s">
        <v>467</v>
      </c>
      <c r="B182" t="s">
        <v>284</v>
      </c>
      <c r="C182" t="s">
        <v>358</v>
      </c>
      <c r="D182" s="11" t="s">
        <v>13</v>
      </c>
      <c r="E182" s="1">
        <v>23638</v>
      </c>
      <c r="F182" s="1">
        <v>42412</v>
      </c>
      <c r="G182" t="s">
        <v>14</v>
      </c>
      <c r="H182" t="s">
        <v>21</v>
      </c>
      <c r="I182" t="s">
        <v>26</v>
      </c>
      <c r="J182" s="13">
        <v>3375.4</v>
      </c>
      <c r="K182" s="36">
        <f ca="1">DATEDIF(personel[[#This Row],[Date de naissance]], TODAY(), "Y")</f>
        <v>61</v>
      </c>
      <c r="L182" s="36">
        <f ca="1">DATEDIF(personel[[#This Row],[Date d''entrée]], TODAY(), "Y")</f>
        <v>10</v>
      </c>
      <c r="M182" s="1">
        <f>(EDATE(personel[[#This Row],[Date d''entrée]], 12))</f>
        <v>42778</v>
      </c>
    </row>
    <row r="183" spans="1:13" x14ac:dyDescent="0.25">
      <c r="A183" t="s">
        <v>468</v>
      </c>
      <c r="B183" t="s">
        <v>469</v>
      </c>
      <c r="C183" t="s">
        <v>123</v>
      </c>
      <c r="D183" s="11" t="s">
        <v>13</v>
      </c>
      <c r="E183" s="1">
        <v>37750</v>
      </c>
      <c r="F183" s="1">
        <v>42756</v>
      </c>
      <c r="G183" t="s">
        <v>42</v>
      </c>
      <c r="H183" t="s">
        <v>34</v>
      </c>
      <c r="I183" t="s">
        <v>26</v>
      </c>
      <c r="J183" s="13">
        <v>2485.71</v>
      </c>
      <c r="K183" s="36">
        <f ca="1">DATEDIF(personel[[#This Row],[Date de naissance]], TODAY(), "Y")</f>
        <v>23</v>
      </c>
      <c r="L183" s="36">
        <f ca="1">DATEDIF(personel[[#This Row],[Date d''entrée]], TODAY(), "Y")</f>
        <v>9</v>
      </c>
      <c r="M183" s="1">
        <f>(EDATE(personel[[#This Row],[Date d''entrée]], 12))</f>
        <v>43121</v>
      </c>
    </row>
    <row r="184" spans="1:13" x14ac:dyDescent="0.25">
      <c r="A184" t="s">
        <v>470</v>
      </c>
      <c r="B184" t="s">
        <v>456</v>
      </c>
      <c r="C184" t="s">
        <v>173</v>
      </c>
      <c r="D184" s="11" t="s">
        <v>13</v>
      </c>
      <c r="E184" s="1">
        <v>33815</v>
      </c>
      <c r="F184" s="1">
        <v>45731</v>
      </c>
      <c r="G184" t="s">
        <v>30</v>
      </c>
      <c r="H184" t="s">
        <v>38</v>
      </c>
      <c r="I184" t="s">
        <v>79</v>
      </c>
      <c r="J184" s="13">
        <v>2357.46</v>
      </c>
      <c r="K184" s="36">
        <f ca="1">DATEDIF(personel[[#This Row],[Date de naissance]], TODAY(), "Y")</f>
        <v>33</v>
      </c>
      <c r="L184" s="36">
        <f ca="1">DATEDIF(personel[[#This Row],[Date d''entrée]], TODAY(), "Y")</f>
        <v>1</v>
      </c>
      <c r="M184" s="1">
        <f>(EDATE(personel[[#This Row],[Date d''entrée]], 12))</f>
        <v>46096</v>
      </c>
    </row>
    <row r="185" spans="1:13" x14ac:dyDescent="0.25">
      <c r="A185" t="s">
        <v>471</v>
      </c>
      <c r="B185" t="s">
        <v>472</v>
      </c>
      <c r="C185" t="s">
        <v>113</v>
      </c>
      <c r="D185" s="11" t="s">
        <v>20</v>
      </c>
      <c r="E185" s="1">
        <v>34934</v>
      </c>
      <c r="F185" s="1">
        <v>44275</v>
      </c>
      <c r="G185" t="s">
        <v>42</v>
      </c>
      <c r="H185" t="s">
        <v>49</v>
      </c>
      <c r="I185" t="s">
        <v>26</v>
      </c>
      <c r="J185" s="13">
        <v>3289.48</v>
      </c>
      <c r="K185" s="36">
        <f ca="1">DATEDIF(personel[[#This Row],[Date de naissance]], TODAY(), "Y")</f>
        <v>30</v>
      </c>
      <c r="L185" s="36">
        <f ca="1">DATEDIF(personel[[#This Row],[Date d''entrée]], TODAY(), "Y")</f>
        <v>5</v>
      </c>
      <c r="M185" s="1">
        <f>(EDATE(personel[[#This Row],[Date d''entrée]], 12))</f>
        <v>44640</v>
      </c>
    </row>
    <row r="186" spans="1:13" x14ac:dyDescent="0.25">
      <c r="A186" t="s">
        <v>473</v>
      </c>
      <c r="B186" t="s">
        <v>23</v>
      </c>
      <c r="C186" t="s">
        <v>140</v>
      </c>
      <c r="D186" s="11" t="s">
        <v>20</v>
      </c>
      <c r="E186" s="1">
        <v>27316</v>
      </c>
      <c r="F186" s="1">
        <v>42982</v>
      </c>
      <c r="G186" t="s">
        <v>14</v>
      </c>
      <c r="H186" t="s">
        <v>34</v>
      </c>
      <c r="I186" t="s">
        <v>26</v>
      </c>
      <c r="J186" s="13">
        <v>2865.92</v>
      </c>
      <c r="K186" s="36">
        <f ca="1">DATEDIF(personel[[#This Row],[Date de naissance]], TODAY(), "Y")</f>
        <v>51</v>
      </c>
      <c r="L186" s="36">
        <f ca="1">DATEDIF(personel[[#This Row],[Date d''entrée]], TODAY(), "Y")</f>
        <v>8</v>
      </c>
      <c r="M186" s="1">
        <f>(EDATE(personel[[#This Row],[Date d''entrée]], 12))</f>
        <v>43347</v>
      </c>
    </row>
    <row r="187" spans="1:13" x14ac:dyDescent="0.25">
      <c r="A187" t="s">
        <v>474</v>
      </c>
      <c r="B187" t="s">
        <v>401</v>
      </c>
      <c r="C187" t="s">
        <v>316</v>
      </c>
      <c r="D187" s="11" t="s">
        <v>20</v>
      </c>
      <c r="E187" s="1">
        <v>24099</v>
      </c>
      <c r="F187" s="1">
        <v>44039</v>
      </c>
      <c r="G187" t="s">
        <v>42</v>
      </c>
      <c r="H187" t="s">
        <v>15</v>
      </c>
      <c r="I187" t="s">
        <v>26</v>
      </c>
      <c r="J187" s="13">
        <v>3428.4</v>
      </c>
      <c r="K187" s="36">
        <f ca="1">DATEDIF(personel[[#This Row],[Date de naissance]], TODAY(), "Y")</f>
        <v>60</v>
      </c>
      <c r="L187" s="36">
        <f ca="1">DATEDIF(personel[[#This Row],[Date d''entrée]], TODAY(), "Y")</f>
        <v>5</v>
      </c>
      <c r="M187" s="1">
        <f>(EDATE(personel[[#This Row],[Date d''entrée]], 12))</f>
        <v>44404</v>
      </c>
    </row>
    <row r="188" spans="1:13" x14ac:dyDescent="0.25">
      <c r="A188" t="s">
        <v>475</v>
      </c>
      <c r="B188" t="s">
        <v>476</v>
      </c>
      <c r="C188" t="s">
        <v>96</v>
      </c>
      <c r="D188" s="11" t="s">
        <v>20</v>
      </c>
      <c r="E188" s="1">
        <v>24301</v>
      </c>
      <c r="F188" s="1">
        <v>42980</v>
      </c>
      <c r="G188" t="s">
        <v>30</v>
      </c>
      <c r="H188" t="s">
        <v>25</v>
      </c>
      <c r="I188" t="s">
        <v>26</v>
      </c>
      <c r="J188" s="13">
        <v>3283.94</v>
      </c>
      <c r="K188" s="36">
        <f ca="1">DATEDIF(personel[[#This Row],[Date de naissance]], TODAY(), "Y")</f>
        <v>59</v>
      </c>
      <c r="L188" s="36">
        <f ca="1">DATEDIF(personel[[#This Row],[Date d''entrée]], TODAY(), "Y")</f>
        <v>8</v>
      </c>
      <c r="M188" s="1">
        <f>(EDATE(personel[[#This Row],[Date d''entrée]], 12))</f>
        <v>43345</v>
      </c>
    </row>
    <row r="189" spans="1:13" x14ac:dyDescent="0.25">
      <c r="A189" t="s">
        <v>477</v>
      </c>
      <c r="B189" t="s">
        <v>298</v>
      </c>
      <c r="C189" t="s">
        <v>120</v>
      </c>
      <c r="D189" s="11" t="s">
        <v>13</v>
      </c>
      <c r="E189" s="1">
        <v>37191</v>
      </c>
      <c r="F189" s="1">
        <v>42645</v>
      </c>
      <c r="G189" t="s">
        <v>42</v>
      </c>
      <c r="H189" t="s">
        <v>25</v>
      </c>
      <c r="I189" t="s">
        <v>16</v>
      </c>
      <c r="J189" s="13">
        <v>2956.3</v>
      </c>
      <c r="K189" s="36">
        <f ca="1">DATEDIF(personel[[#This Row],[Date de naissance]], TODAY(), "Y")</f>
        <v>24</v>
      </c>
      <c r="L189" s="36">
        <f ca="1">DATEDIF(personel[[#This Row],[Date d''entrée]], TODAY(), "Y")</f>
        <v>9</v>
      </c>
      <c r="M189" s="1">
        <f>(EDATE(personel[[#This Row],[Date d''entrée]], 12))</f>
        <v>43010</v>
      </c>
    </row>
    <row r="190" spans="1:13" x14ac:dyDescent="0.25">
      <c r="A190" t="s">
        <v>478</v>
      </c>
      <c r="B190" t="s">
        <v>479</v>
      </c>
      <c r="C190" t="s">
        <v>480</v>
      </c>
      <c r="D190" s="11" t="s">
        <v>20</v>
      </c>
      <c r="E190" s="1">
        <v>35620</v>
      </c>
      <c r="F190" s="1">
        <v>42509</v>
      </c>
      <c r="G190" t="s">
        <v>14</v>
      </c>
      <c r="H190" t="s">
        <v>38</v>
      </c>
      <c r="I190" t="s">
        <v>26</v>
      </c>
      <c r="J190" s="13">
        <v>2491.92</v>
      </c>
      <c r="K190" s="36">
        <f ca="1">DATEDIF(personel[[#This Row],[Date de naissance]], TODAY(), "Y")</f>
        <v>28</v>
      </c>
      <c r="L190" s="36">
        <f ca="1">DATEDIF(personel[[#This Row],[Date d''entrée]], TODAY(), "Y")</f>
        <v>10</v>
      </c>
      <c r="M190" s="1">
        <f>(EDATE(personel[[#This Row],[Date d''entrée]], 12))</f>
        <v>42874</v>
      </c>
    </row>
    <row r="191" spans="1:13" x14ac:dyDescent="0.25">
      <c r="A191" t="s">
        <v>481</v>
      </c>
      <c r="B191" t="s">
        <v>250</v>
      </c>
      <c r="C191" t="s">
        <v>462</v>
      </c>
      <c r="D191" s="11" t="s">
        <v>20</v>
      </c>
      <c r="E191" s="1">
        <v>36217</v>
      </c>
      <c r="F191" s="1">
        <v>43012</v>
      </c>
      <c r="G191" t="s">
        <v>30</v>
      </c>
      <c r="H191" t="s">
        <v>38</v>
      </c>
      <c r="I191" t="s">
        <v>26</v>
      </c>
      <c r="J191" s="13">
        <v>2091.09</v>
      </c>
      <c r="K191" s="36">
        <f ca="1">DATEDIF(personel[[#This Row],[Date de naissance]], TODAY(), "Y")</f>
        <v>27</v>
      </c>
      <c r="L191" s="36">
        <f ca="1">DATEDIF(personel[[#This Row],[Date d''entrée]], TODAY(), "Y")</f>
        <v>8</v>
      </c>
      <c r="M191" s="1">
        <f>(EDATE(personel[[#This Row],[Date d''entrée]], 12))</f>
        <v>43377</v>
      </c>
    </row>
    <row r="192" spans="1:13" x14ac:dyDescent="0.25">
      <c r="A192" t="s">
        <v>482</v>
      </c>
      <c r="B192" t="s">
        <v>250</v>
      </c>
      <c r="C192" t="s">
        <v>483</v>
      </c>
      <c r="D192" s="11" t="s">
        <v>20</v>
      </c>
      <c r="E192" s="1">
        <v>30062</v>
      </c>
      <c r="F192" s="1">
        <v>43719</v>
      </c>
      <c r="G192" t="s">
        <v>14</v>
      </c>
      <c r="H192" t="s">
        <v>21</v>
      </c>
      <c r="I192" t="s">
        <v>26</v>
      </c>
      <c r="J192" s="13">
        <v>2732.09</v>
      </c>
      <c r="K192" s="36">
        <f ca="1">DATEDIF(personel[[#This Row],[Date de naissance]], TODAY(), "Y")</f>
        <v>44</v>
      </c>
      <c r="L192" s="36">
        <f ca="1">DATEDIF(personel[[#This Row],[Date d''entrée]], TODAY(), "Y")</f>
        <v>6</v>
      </c>
      <c r="M192" s="1">
        <f>(EDATE(personel[[#This Row],[Date d''entrée]], 12))</f>
        <v>44085</v>
      </c>
    </row>
    <row r="193" spans="1:13" x14ac:dyDescent="0.25">
      <c r="A193" t="s">
        <v>484</v>
      </c>
      <c r="B193" t="s">
        <v>485</v>
      </c>
      <c r="C193" t="s">
        <v>132</v>
      </c>
      <c r="D193" s="11" t="s">
        <v>20</v>
      </c>
      <c r="E193" s="1">
        <v>30614</v>
      </c>
      <c r="F193" s="1">
        <v>44038</v>
      </c>
      <c r="G193" t="s">
        <v>30</v>
      </c>
      <c r="H193" t="s">
        <v>15</v>
      </c>
      <c r="I193" t="s">
        <v>26</v>
      </c>
      <c r="J193" s="13">
        <v>3513.84</v>
      </c>
      <c r="K193" s="36">
        <f ca="1">DATEDIF(personel[[#This Row],[Date de naissance]], TODAY(), "Y")</f>
        <v>42</v>
      </c>
      <c r="L193" s="36">
        <f ca="1">DATEDIF(personel[[#This Row],[Date d''entrée]], TODAY(), "Y")</f>
        <v>5</v>
      </c>
      <c r="M193" s="1">
        <f>(EDATE(personel[[#This Row],[Date d''entrée]], 12))</f>
        <v>44403</v>
      </c>
    </row>
    <row r="194" spans="1:13" x14ac:dyDescent="0.25">
      <c r="A194" t="s">
        <v>486</v>
      </c>
      <c r="B194" t="s">
        <v>213</v>
      </c>
      <c r="C194" t="s">
        <v>487</v>
      </c>
      <c r="D194" s="11" t="s">
        <v>13</v>
      </c>
      <c r="E194" s="1">
        <v>30323</v>
      </c>
      <c r="F194" s="1">
        <v>44896</v>
      </c>
      <c r="G194" t="s">
        <v>14</v>
      </c>
      <c r="H194" t="s">
        <v>49</v>
      </c>
      <c r="I194" t="s">
        <v>26</v>
      </c>
      <c r="J194" s="13">
        <v>3128.46</v>
      </c>
      <c r="K194" s="36">
        <f ca="1">DATEDIF(personel[[#This Row],[Date de naissance]], TODAY(), "Y")</f>
        <v>43</v>
      </c>
      <c r="L194" s="36">
        <f ca="1">DATEDIF(personel[[#This Row],[Date d''entrée]], TODAY(), "Y")</f>
        <v>3</v>
      </c>
      <c r="M194" s="1">
        <f>(EDATE(personel[[#This Row],[Date d''entrée]], 12))</f>
        <v>45261</v>
      </c>
    </row>
    <row r="195" spans="1:13" x14ac:dyDescent="0.25">
      <c r="A195" t="s">
        <v>488</v>
      </c>
      <c r="B195" t="s">
        <v>11</v>
      </c>
      <c r="C195" t="s">
        <v>118</v>
      </c>
      <c r="D195" s="11" t="s">
        <v>13</v>
      </c>
      <c r="E195" s="1">
        <v>23725</v>
      </c>
      <c r="F195" s="1">
        <v>42466</v>
      </c>
      <c r="G195" t="s">
        <v>42</v>
      </c>
      <c r="H195" t="s">
        <v>25</v>
      </c>
      <c r="I195" t="s">
        <v>16</v>
      </c>
      <c r="J195" s="13">
        <v>2252.56</v>
      </c>
      <c r="K195" s="36">
        <f ca="1">DATEDIF(personel[[#This Row],[Date de naissance]], TODAY(), "Y")</f>
        <v>61</v>
      </c>
      <c r="L195" s="36">
        <f ca="1">DATEDIF(personel[[#This Row],[Date d''entrée]], TODAY(), "Y")</f>
        <v>10</v>
      </c>
      <c r="M195" s="1">
        <f>(EDATE(personel[[#This Row],[Date d''entrée]], 12))</f>
        <v>42831</v>
      </c>
    </row>
    <row r="196" spans="1:13" x14ac:dyDescent="0.25">
      <c r="A196" t="s">
        <v>489</v>
      </c>
      <c r="B196" t="s">
        <v>490</v>
      </c>
      <c r="C196" t="s">
        <v>326</v>
      </c>
      <c r="D196" s="11" t="s">
        <v>20</v>
      </c>
      <c r="E196" s="1">
        <v>27836</v>
      </c>
      <c r="F196" s="1">
        <v>45285</v>
      </c>
      <c r="G196" t="s">
        <v>30</v>
      </c>
      <c r="H196" t="s">
        <v>15</v>
      </c>
      <c r="I196" t="s">
        <v>16</v>
      </c>
      <c r="J196" s="13">
        <v>3103.91</v>
      </c>
      <c r="K196" s="36">
        <f ca="1">DATEDIF(personel[[#This Row],[Date de naissance]], TODAY(), "Y")</f>
        <v>50</v>
      </c>
      <c r="L196" s="36">
        <f ca="1">DATEDIF(personel[[#This Row],[Date d''entrée]], TODAY(), "Y")</f>
        <v>2</v>
      </c>
      <c r="M196" s="1">
        <f>(EDATE(personel[[#This Row],[Date d''entrée]], 12))</f>
        <v>45651</v>
      </c>
    </row>
    <row r="197" spans="1:13" x14ac:dyDescent="0.25">
      <c r="A197" t="s">
        <v>491</v>
      </c>
      <c r="B197" t="s">
        <v>492</v>
      </c>
      <c r="C197" t="s">
        <v>493</v>
      </c>
      <c r="D197" s="11" t="s">
        <v>13</v>
      </c>
      <c r="E197" s="1">
        <v>37968</v>
      </c>
      <c r="F197" s="1">
        <v>42557</v>
      </c>
      <c r="G197" t="s">
        <v>30</v>
      </c>
      <c r="H197" t="s">
        <v>25</v>
      </c>
      <c r="I197" t="s">
        <v>26</v>
      </c>
      <c r="J197" s="13">
        <v>3231.19</v>
      </c>
      <c r="K197" s="36">
        <f ca="1">DATEDIF(personel[[#This Row],[Date de naissance]], TODAY(), "Y")</f>
        <v>22</v>
      </c>
      <c r="L197" s="36">
        <f ca="1">DATEDIF(personel[[#This Row],[Date d''entrée]], TODAY(), "Y")</f>
        <v>9</v>
      </c>
      <c r="M197" s="1">
        <f>(EDATE(personel[[#This Row],[Date d''entrée]], 12))</f>
        <v>42922</v>
      </c>
    </row>
    <row r="198" spans="1:13" x14ac:dyDescent="0.25">
      <c r="A198" t="s">
        <v>494</v>
      </c>
      <c r="B198" t="s">
        <v>495</v>
      </c>
      <c r="C198" t="s">
        <v>496</v>
      </c>
      <c r="D198" s="11" t="s">
        <v>20</v>
      </c>
      <c r="E198" s="1">
        <v>23084</v>
      </c>
      <c r="F198" s="1">
        <v>44323</v>
      </c>
      <c r="G198" t="s">
        <v>30</v>
      </c>
      <c r="H198" t="s">
        <v>38</v>
      </c>
      <c r="I198" t="s">
        <v>26</v>
      </c>
      <c r="J198" s="13">
        <v>2469.69</v>
      </c>
      <c r="K198" s="36">
        <f ca="1">DATEDIF(personel[[#This Row],[Date de naissance]], TODAY(), "Y")</f>
        <v>63</v>
      </c>
      <c r="L198" s="36">
        <f ca="1">DATEDIF(personel[[#This Row],[Date d''entrée]], TODAY(), "Y")</f>
        <v>5</v>
      </c>
      <c r="M198" s="1">
        <f>(EDATE(personel[[#This Row],[Date d''entrée]], 12))</f>
        <v>44688</v>
      </c>
    </row>
    <row r="199" spans="1:13" x14ac:dyDescent="0.25">
      <c r="A199" t="s">
        <v>497</v>
      </c>
      <c r="B199" t="s">
        <v>498</v>
      </c>
      <c r="C199" t="s">
        <v>190</v>
      </c>
      <c r="D199" s="11" t="s">
        <v>20</v>
      </c>
      <c r="E199" s="1">
        <v>27132</v>
      </c>
      <c r="F199" s="1">
        <v>43220</v>
      </c>
      <c r="G199" t="s">
        <v>14</v>
      </c>
      <c r="H199" t="s">
        <v>21</v>
      </c>
      <c r="I199" t="s">
        <v>26</v>
      </c>
      <c r="J199" s="13">
        <v>3092.24</v>
      </c>
      <c r="K199" s="36">
        <f ca="1">DATEDIF(personel[[#This Row],[Date de naissance]], TODAY(), "Y")</f>
        <v>52</v>
      </c>
      <c r="L199" s="36">
        <f ca="1">DATEDIF(personel[[#This Row],[Date d''entrée]], TODAY(), "Y")</f>
        <v>8</v>
      </c>
      <c r="M199" s="1">
        <f>(EDATE(personel[[#This Row],[Date d''entrée]], 12))</f>
        <v>43585</v>
      </c>
    </row>
    <row r="200" spans="1:13" x14ac:dyDescent="0.25">
      <c r="A200" t="s">
        <v>499</v>
      </c>
      <c r="B200" t="s">
        <v>500</v>
      </c>
      <c r="C200" t="s">
        <v>501</v>
      </c>
      <c r="D200" s="11" t="s">
        <v>20</v>
      </c>
      <c r="E200" s="1">
        <v>27512</v>
      </c>
      <c r="F200" s="1">
        <v>45016</v>
      </c>
      <c r="G200" t="s">
        <v>30</v>
      </c>
      <c r="H200" t="s">
        <v>34</v>
      </c>
      <c r="I200" t="s">
        <v>16</v>
      </c>
      <c r="J200" s="13">
        <v>3034.93</v>
      </c>
      <c r="K200" s="36">
        <f ca="1">DATEDIF(personel[[#This Row],[Date de naissance]], TODAY(), "Y")</f>
        <v>51</v>
      </c>
      <c r="L200" s="36">
        <f ca="1">DATEDIF(personel[[#This Row],[Date d''entrée]], TODAY(), "Y")</f>
        <v>3</v>
      </c>
      <c r="M200" s="1">
        <f>(EDATE(personel[[#This Row],[Date d''entrée]], 12))</f>
        <v>45382</v>
      </c>
    </row>
    <row r="201" spans="1:13" x14ac:dyDescent="0.25">
      <c r="A201" t="s">
        <v>502</v>
      </c>
      <c r="B201" t="s">
        <v>59</v>
      </c>
      <c r="C201" t="s">
        <v>132</v>
      </c>
      <c r="D201" s="11" t="s">
        <v>13</v>
      </c>
      <c r="E201" s="1">
        <v>38041</v>
      </c>
      <c r="F201" s="1">
        <v>45016</v>
      </c>
      <c r="G201" t="s">
        <v>42</v>
      </c>
      <c r="H201" t="s">
        <v>34</v>
      </c>
      <c r="I201" t="s">
        <v>26</v>
      </c>
      <c r="J201" s="13">
        <v>2314.2199999999998</v>
      </c>
      <c r="K201" s="36">
        <f ca="1">DATEDIF(personel[[#This Row],[Date de naissance]], TODAY(), "Y")</f>
        <v>22</v>
      </c>
      <c r="L201" s="36">
        <f ca="1">DATEDIF(personel[[#This Row],[Date d''entrée]], TODAY(), "Y")</f>
        <v>3</v>
      </c>
      <c r="M201" s="1">
        <f>(EDATE(personel[[#This Row],[Date d''entrée]], 12))</f>
        <v>45382</v>
      </c>
    </row>
    <row r="202" spans="1:13" x14ac:dyDescent="0.25">
      <c r="A202" t="s">
        <v>503</v>
      </c>
      <c r="B202" t="s">
        <v>504</v>
      </c>
      <c r="C202" t="s">
        <v>96</v>
      </c>
      <c r="D202" s="11" t="s">
        <v>13</v>
      </c>
      <c r="E202" s="1">
        <v>32221</v>
      </c>
      <c r="F202" s="1">
        <v>44797</v>
      </c>
      <c r="G202" t="s">
        <v>30</v>
      </c>
      <c r="H202" t="s">
        <v>15</v>
      </c>
      <c r="I202" t="s">
        <v>16</v>
      </c>
      <c r="J202" s="13">
        <v>3214.67</v>
      </c>
      <c r="K202" s="36">
        <f ca="1">DATEDIF(personel[[#This Row],[Date de naissance]], TODAY(), "Y")</f>
        <v>38</v>
      </c>
      <c r="L202" s="36">
        <f ca="1">DATEDIF(personel[[#This Row],[Date d''entrée]], TODAY(), "Y")</f>
        <v>3</v>
      </c>
      <c r="M202" s="1">
        <f>(EDATE(personel[[#This Row],[Date d''entrée]], 12))</f>
        <v>45162</v>
      </c>
    </row>
    <row r="203" spans="1:13" x14ac:dyDescent="0.25">
      <c r="A203" t="s">
        <v>505</v>
      </c>
      <c r="B203" t="s">
        <v>506</v>
      </c>
      <c r="C203" t="s">
        <v>105</v>
      </c>
      <c r="D203" s="11" t="s">
        <v>13</v>
      </c>
      <c r="E203" s="1">
        <v>37625</v>
      </c>
      <c r="F203" s="1">
        <v>44881</v>
      </c>
      <c r="G203" t="s">
        <v>42</v>
      </c>
      <c r="H203" t="s">
        <v>38</v>
      </c>
      <c r="I203" t="s">
        <v>16</v>
      </c>
      <c r="J203" s="13">
        <v>3336.47</v>
      </c>
      <c r="K203" s="36">
        <f ca="1">DATEDIF(personel[[#This Row],[Date de naissance]], TODAY(), "Y")</f>
        <v>23</v>
      </c>
      <c r="L203" s="36">
        <f ca="1">DATEDIF(personel[[#This Row],[Date d''entrée]], TODAY(), "Y")</f>
        <v>3</v>
      </c>
      <c r="M203" s="1">
        <f>(EDATE(personel[[#This Row],[Date d''entrée]], 12))</f>
        <v>45246</v>
      </c>
    </row>
    <row r="204" spans="1:13" x14ac:dyDescent="0.25">
      <c r="A204" t="s">
        <v>507</v>
      </c>
      <c r="B204" t="s">
        <v>508</v>
      </c>
      <c r="C204" t="s">
        <v>88</v>
      </c>
      <c r="D204" s="11" t="s">
        <v>20</v>
      </c>
      <c r="E204" s="1">
        <v>28863</v>
      </c>
      <c r="F204" s="1">
        <v>44655</v>
      </c>
      <c r="G204" t="s">
        <v>42</v>
      </c>
      <c r="H204" t="s">
        <v>49</v>
      </c>
      <c r="I204" t="s">
        <v>26</v>
      </c>
      <c r="J204" s="13">
        <v>3649.83</v>
      </c>
      <c r="K204" s="36">
        <f ca="1">DATEDIF(personel[[#This Row],[Date de naissance]], TODAY(), "Y")</f>
        <v>47</v>
      </c>
      <c r="L204" s="36">
        <f ca="1">DATEDIF(personel[[#This Row],[Date d''entrée]], TODAY(), "Y")</f>
        <v>4</v>
      </c>
      <c r="M204" s="1">
        <f>(EDATE(personel[[#This Row],[Date d''entrée]], 12))</f>
        <v>45020</v>
      </c>
    </row>
    <row r="205" spans="1:13" x14ac:dyDescent="0.25">
      <c r="A205" t="s">
        <v>509</v>
      </c>
      <c r="B205" t="s">
        <v>479</v>
      </c>
      <c r="C205" t="s">
        <v>510</v>
      </c>
      <c r="D205" s="11" t="s">
        <v>20</v>
      </c>
      <c r="E205" s="1">
        <v>36061</v>
      </c>
      <c r="F205" s="1">
        <v>44728</v>
      </c>
      <c r="G205" t="s">
        <v>14</v>
      </c>
      <c r="H205" t="s">
        <v>38</v>
      </c>
      <c r="I205" t="s">
        <v>79</v>
      </c>
      <c r="J205" s="13">
        <v>3632.28</v>
      </c>
      <c r="K205" s="36">
        <f ca="1">DATEDIF(personel[[#This Row],[Date de naissance]], TODAY(), "Y")</f>
        <v>27</v>
      </c>
      <c r="L205" s="36">
        <f ca="1">DATEDIF(personel[[#This Row],[Date d''entrée]], TODAY(), "Y")</f>
        <v>3</v>
      </c>
      <c r="M205" s="1">
        <f>(EDATE(personel[[#This Row],[Date d''entrée]], 12))</f>
        <v>45093</v>
      </c>
    </row>
    <row r="206" spans="1:13" x14ac:dyDescent="0.25">
      <c r="A206" t="s">
        <v>511</v>
      </c>
      <c r="B206" t="s">
        <v>512</v>
      </c>
      <c r="C206" t="s">
        <v>415</v>
      </c>
      <c r="D206" s="11" t="s">
        <v>20</v>
      </c>
      <c r="E206" s="1">
        <v>22854</v>
      </c>
      <c r="F206" s="1">
        <v>42295</v>
      </c>
      <c r="G206" t="s">
        <v>42</v>
      </c>
      <c r="H206" t="s">
        <v>38</v>
      </c>
      <c r="I206" t="s">
        <v>26</v>
      </c>
      <c r="J206" s="13">
        <v>2173.4</v>
      </c>
      <c r="K206" s="36">
        <f ca="1">DATEDIF(personel[[#This Row],[Date de naissance]], TODAY(), "Y")</f>
        <v>63</v>
      </c>
      <c r="L206" s="36">
        <f ca="1">DATEDIF(personel[[#This Row],[Date d''entrée]], TODAY(), "Y")</f>
        <v>10</v>
      </c>
      <c r="M206" s="1">
        <f>(EDATE(personel[[#This Row],[Date d''entrée]], 12))</f>
        <v>42661</v>
      </c>
    </row>
    <row r="207" spans="1:13" x14ac:dyDescent="0.25">
      <c r="A207" t="s">
        <v>513</v>
      </c>
      <c r="B207" t="s">
        <v>339</v>
      </c>
      <c r="C207" t="s">
        <v>333</v>
      </c>
      <c r="D207" s="11" t="s">
        <v>20</v>
      </c>
      <c r="E207" s="1">
        <v>33155</v>
      </c>
      <c r="F207" s="1">
        <v>45392</v>
      </c>
      <c r="G207" t="s">
        <v>30</v>
      </c>
      <c r="H207" t="s">
        <v>34</v>
      </c>
      <c r="I207" t="s">
        <v>26</v>
      </c>
      <c r="J207" s="13">
        <v>2437.3000000000002</v>
      </c>
      <c r="K207" s="36">
        <f ca="1">DATEDIF(personel[[#This Row],[Date de naissance]], TODAY(), "Y")</f>
        <v>35</v>
      </c>
      <c r="L207" s="36">
        <f ca="1">DATEDIF(personel[[#This Row],[Date d''entrée]], TODAY(), "Y")</f>
        <v>2</v>
      </c>
      <c r="M207" s="1">
        <f>(EDATE(personel[[#This Row],[Date d''entrée]], 12))</f>
        <v>45757</v>
      </c>
    </row>
    <row r="208" spans="1:13" x14ac:dyDescent="0.25">
      <c r="A208" t="s">
        <v>514</v>
      </c>
      <c r="B208" t="s">
        <v>515</v>
      </c>
      <c r="C208" t="s">
        <v>264</v>
      </c>
      <c r="D208" s="11" t="s">
        <v>13</v>
      </c>
      <c r="E208" s="1">
        <v>23179</v>
      </c>
      <c r="F208" s="1">
        <v>44046</v>
      </c>
      <c r="G208" t="s">
        <v>42</v>
      </c>
      <c r="H208" t="s">
        <v>34</v>
      </c>
      <c r="I208" t="s">
        <v>26</v>
      </c>
      <c r="J208" s="13">
        <v>3309.02</v>
      </c>
      <c r="K208" s="36">
        <f ca="1">DATEDIF(personel[[#This Row],[Date de naissance]], TODAY(), "Y")</f>
        <v>62</v>
      </c>
      <c r="L208" s="36">
        <f ca="1">DATEDIF(personel[[#This Row],[Date d''entrée]], TODAY(), "Y")</f>
        <v>5</v>
      </c>
      <c r="M208" s="1">
        <f>(EDATE(personel[[#This Row],[Date d''entrée]], 12))</f>
        <v>44411</v>
      </c>
    </row>
    <row r="209" spans="1:13" x14ac:dyDescent="0.25">
      <c r="A209" t="s">
        <v>516</v>
      </c>
      <c r="B209" t="s">
        <v>192</v>
      </c>
      <c r="C209" t="s">
        <v>517</v>
      </c>
      <c r="D209" s="11" t="s">
        <v>20</v>
      </c>
      <c r="E209" s="1">
        <v>30821</v>
      </c>
      <c r="F209" s="1">
        <v>42547</v>
      </c>
      <c r="G209" t="s">
        <v>30</v>
      </c>
      <c r="H209" t="s">
        <v>34</v>
      </c>
      <c r="I209" t="s">
        <v>26</v>
      </c>
      <c r="J209" s="13">
        <v>3308.27</v>
      </c>
      <c r="K209" s="36">
        <f ca="1">DATEDIF(personel[[#This Row],[Date de naissance]], TODAY(), "Y")</f>
        <v>42</v>
      </c>
      <c r="L209" s="36">
        <f ca="1">DATEDIF(personel[[#This Row],[Date d''entrée]], TODAY(), "Y")</f>
        <v>9</v>
      </c>
      <c r="M209" s="1">
        <f>(EDATE(personel[[#This Row],[Date d''entrée]], 12))</f>
        <v>42912</v>
      </c>
    </row>
    <row r="210" spans="1:13" x14ac:dyDescent="0.25">
      <c r="A210" t="s">
        <v>518</v>
      </c>
      <c r="B210" t="s">
        <v>492</v>
      </c>
      <c r="C210" t="s">
        <v>195</v>
      </c>
      <c r="D210" s="11" t="s">
        <v>20</v>
      </c>
      <c r="E210" s="1">
        <v>23124</v>
      </c>
      <c r="F210" s="1">
        <v>45066</v>
      </c>
      <c r="G210" t="s">
        <v>42</v>
      </c>
      <c r="H210" t="s">
        <v>21</v>
      </c>
      <c r="I210" t="s">
        <v>26</v>
      </c>
      <c r="J210" s="13">
        <v>3309.03</v>
      </c>
      <c r="K210" s="36">
        <f ca="1">DATEDIF(personel[[#This Row],[Date de naissance]], TODAY(), "Y")</f>
        <v>63</v>
      </c>
      <c r="L210" s="36">
        <f ca="1">DATEDIF(personel[[#This Row],[Date d''entrée]], TODAY(), "Y")</f>
        <v>3</v>
      </c>
      <c r="M210" s="1">
        <f>(EDATE(personel[[#This Row],[Date d''entrée]], 12))</f>
        <v>45432</v>
      </c>
    </row>
    <row r="211" spans="1:13" x14ac:dyDescent="0.25">
      <c r="A211" t="s">
        <v>519</v>
      </c>
      <c r="B211" t="s">
        <v>520</v>
      </c>
      <c r="C211" t="s">
        <v>521</v>
      </c>
      <c r="D211" s="11" t="s">
        <v>20</v>
      </c>
      <c r="E211" s="1">
        <v>26555</v>
      </c>
      <c r="F211" s="1">
        <v>44304</v>
      </c>
      <c r="G211" t="s">
        <v>30</v>
      </c>
      <c r="H211" t="s">
        <v>15</v>
      </c>
      <c r="I211" t="s">
        <v>26</v>
      </c>
      <c r="J211" s="13">
        <v>5311.64</v>
      </c>
      <c r="K211" s="36">
        <f ca="1">DATEDIF(personel[[#This Row],[Date de naissance]], TODAY(), "Y")</f>
        <v>53</v>
      </c>
      <c r="L211" s="36">
        <f ca="1">DATEDIF(personel[[#This Row],[Date d''entrée]], TODAY(), "Y")</f>
        <v>5</v>
      </c>
      <c r="M211" s="1">
        <f>(EDATE(personel[[#This Row],[Date d''entrée]], 12))</f>
        <v>44669</v>
      </c>
    </row>
    <row r="212" spans="1:13" x14ac:dyDescent="0.25">
      <c r="A212" t="s">
        <v>522</v>
      </c>
      <c r="B212" t="s">
        <v>523</v>
      </c>
      <c r="C212" t="s">
        <v>254</v>
      </c>
      <c r="D212" s="11" t="s">
        <v>13</v>
      </c>
      <c r="E212" s="1">
        <v>28823</v>
      </c>
      <c r="F212" s="1">
        <v>45214</v>
      </c>
      <c r="G212" t="s">
        <v>30</v>
      </c>
      <c r="H212" t="s">
        <v>34</v>
      </c>
      <c r="I212" t="s">
        <v>16</v>
      </c>
      <c r="J212" s="13">
        <v>3342.53</v>
      </c>
      <c r="K212" s="36">
        <f ca="1">DATEDIF(personel[[#This Row],[Date de naissance]], TODAY(), "Y")</f>
        <v>47</v>
      </c>
      <c r="L212" s="36">
        <f ca="1">DATEDIF(personel[[#This Row],[Date d''entrée]], TODAY(), "Y")</f>
        <v>2</v>
      </c>
      <c r="M212" s="1">
        <f>(EDATE(personel[[#This Row],[Date d''entrée]], 12))</f>
        <v>45580</v>
      </c>
    </row>
    <row r="213" spans="1:13" x14ac:dyDescent="0.25">
      <c r="A213" t="s">
        <v>524</v>
      </c>
      <c r="B213" t="s">
        <v>525</v>
      </c>
      <c r="C213" t="s">
        <v>69</v>
      </c>
      <c r="D213" s="11" t="s">
        <v>20</v>
      </c>
      <c r="E213" s="1">
        <v>37964</v>
      </c>
      <c r="F213" s="1">
        <v>45218</v>
      </c>
      <c r="G213" t="s">
        <v>14</v>
      </c>
      <c r="H213" t="s">
        <v>21</v>
      </c>
      <c r="I213" t="s">
        <v>26</v>
      </c>
      <c r="J213" s="13">
        <v>3681.34</v>
      </c>
      <c r="K213" s="36">
        <f ca="1">DATEDIF(personel[[#This Row],[Date de naissance]], TODAY(), "Y")</f>
        <v>22</v>
      </c>
      <c r="L213" s="36">
        <f ca="1">DATEDIF(personel[[#This Row],[Date d''entrée]], TODAY(), "Y")</f>
        <v>2</v>
      </c>
      <c r="M213" s="1">
        <f>(EDATE(personel[[#This Row],[Date d''entrée]], 12))</f>
        <v>45584</v>
      </c>
    </row>
    <row r="214" spans="1:13" x14ac:dyDescent="0.25">
      <c r="A214" t="s">
        <v>526</v>
      </c>
      <c r="B214" t="s">
        <v>71</v>
      </c>
      <c r="C214" t="s">
        <v>527</v>
      </c>
      <c r="D214" s="11" t="s">
        <v>20</v>
      </c>
      <c r="E214" s="1">
        <v>36576</v>
      </c>
      <c r="F214" s="1">
        <v>45235</v>
      </c>
      <c r="G214" t="s">
        <v>42</v>
      </c>
      <c r="H214" t="s">
        <v>21</v>
      </c>
      <c r="I214" t="s">
        <v>26</v>
      </c>
      <c r="J214" s="13">
        <v>3572.4</v>
      </c>
      <c r="K214" s="36">
        <f ca="1">DATEDIF(personel[[#This Row],[Date de naissance]], TODAY(), "Y")</f>
        <v>26</v>
      </c>
      <c r="L214" s="36">
        <f ca="1">DATEDIF(personel[[#This Row],[Date d''entrée]], TODAY(), "Y")</f>
        <v>2</v>
      </c>
      <c r="M214" s="1">
        <f>(EDATE(personel[[#This Row],[Date d''entrée]], 12))</f>
        <v>45601</v>
      </c>
    </row>
    <row r="215" spans="1:13" x14ac:dyDescent="0.25">
      <c r="A215" t="s">
        <v>528</v>
      </c>
      <c r="B215" t="s">
        <v>529</v>
      </c>
      <c r="C215" t="s">
        <v>120</v>
      </c>
      <c r="D215" s="11" t="s">
        <v>20</v>
      </c>
      <c r="E215" s="1">
        <v>31915</v>
      </c>
      <c r="F215" s="1">
        <v>42959</v>
      </c>
      <c r="G215" t="s">
        <v>14</v>
      </c>
      <c r="H215" t="s">
        <v>21</v>
      </c>
      <c r="I215" t="s">
        <v>26</v>
      </c>
      <c r="J215" s="13">
        <v>3390.83</v>
      </c>
      <c r="K215" s="36">
        <f ca="1">DATEDIF(personel[[#This Row],[Date de naissance]], TODAY(), "Y")</f>
        <v>39</v>
      </c>
      <c r="L215" s="36">
        <f ca="1">DATEDIF(personel[[#This Row],[Date d''entrée]], TODAY(), "Y")</f>
        <v>8</v>
      </c>
      <c r="M215" s="1">
        <f>(EDATE(personel[[#This Row],[Date d''entrée]], 12))</f>
        <v>43324</v>
      </c>
    </row>
    <row r="216" spans="1:13" x14ac:dyDescent="0.25">
      <c r="A216" t="s">
        <v>530</v>
      </c>
      <c r="B216" t="s">
        <v>531</v>
      </c>
      <c r="C216" t="s">
        <v>532</v>
      </c>
      <c r="D216" s="11" t="s">
        <v>20</v>
      </c>
      <c r="E216" s="1">
        <v>36794</v>
      </c>
      <c r="F216" s="1">
        <v>44216</v>
      </c>
      <c r="G216" t="s">
        <v>14</v>
      </c>
      <c r="H216" t="s">
        <v>15</v>
      </c>
      <c r="I216" t="s">
        <v>16</v>
      </c>
      <c r="J216" s="13">
        <v>2810.84</v>
      </c>
      <c r="K216" s="36">
        <f ca="1">DATEDIF(personel[[#This Row],[Date de naissance]], TODAY(), "Y")</f>
        <v>25</v>
      </c>
      <c r="L216" s="36">
        <f ca="1">DATEDIF(personel[[#This Row],[Date d''entrée]], TODAY(), "Y")</f>
        <v>5</v>
      </c>
      <c r="M216" s="1">
        <f>(EDATE(personel[[#This Row],[Date d''entrée]], 12))</f>
        <v>44581</v>
      </c>
    </row>
    <row r="217" spans="1:13" x14ac:dyDescent="0.25">
      <c r="A217" t="s">
        <v>533</v>
      </c>
      <c r="B217" t="s">
        <v>341</v>
      </c>
      <c r="C217" t="s">
        <v>41</v>
      </c>
      <c r="D217" s="11" t="s">
        <v>13</v>
      </c>
      <c r="E217" s="1">
        <v>29768</v>
      </c>
      <c r="F217" s="1">
        <v>44556</v>
      </c>
      <c r="G217" t="s">
        <v>14</v>
      </c>
      <c r="H217" t="s">
        <v>15</v>
      </c>
      <c r="I217" t="s">
        <v>26</v>
      </c>
      <c r="J217" s="13">
        <v>3455.38</v>
      </c>
      <c r="K217" s="36">
        <f ca="1">DATEDIF(personel[[#This Row],[Date de naissance]], TODAY(), "Y")</f>
        <v>44</v>
      </c>
      <c r="L217" s="36">
        <f ca="1">DATEDIF(personel[[#This Row],[Date d''entrée]], TODAY(), "Y")</f>
        <v>4</v>
      </c>
      <c r="M217" s="1">
        <f>(EDATE(personel[[#This Row],[Date d''entrée]], 12))</f>
        <v>44921</v>
      </c>
    </row>
    <row r="218" spans="1:13" x14ac:dyDescent="0.25">
      <c r="A218" t="s">
        <v>534</v>
      </c>
      <c r="B218" t="s">
        <v>535</v>
      </c>
      <c r="C218" t="s">
        <v>75</v>
      </c>
      <c r="D218" s="11" t="s">
        <v>13</v>
      </c>
      <c r="E218" s="1">
        <v>30167</v>
      </c>
      <c r="F218" s="1">
        <v>43126</v>
      </c>
      <c r="G218" t="s">
        <v>14</v>
      </c>
      <c r="H218" t="s">
        <v>21</v>
      </c>
      <c r="I218" t="s">
        <v>26</v>
      </c>
      <c r="J218" s="13">
        <v>2536.3000000000002</v>
      </c>
      <c r="K218" s="36">
        <f ca="1">DATEDIF(personel[[#This Row],[Date de naissance]], TODAY(), "Y")</f>
        <v>43</v>
      </c>
      <c r="L218" s="36">
        <f ca="1">DATEDIF(personel[[#This Row],[Date d''entrée]], TODAY(), "Y")</f>
        <v>8</v>
      </c>
      <c r="M218" s="1">
        <f>(EDATE(personel[[#This Row],[Date d''entrée]], 12))</f>
        <v>43491</v>
      </c>
    </row>
    <row r="219" spans="1:13" x14ac:dyDescent="0.25">
      <c r="A219" t="s">
        <v>536</v>
      </c>
      <c r="B219" t="s">
        <v>362</v>
      </c>
      <c r="C219" t="s">
        <v>521</v>
      </c>
      <c r="D219" s="11" t="s">
        <v>20</v>
      </c>
      <c r="E219" s="1">
        <v>26496</v>
      </c>
      <c r="F219" s="1">
        <v>45191</v>
      </c>
      <c r="G219" t="s">
        <v>30</v>
      </c>
      <c r="H219" t="s">
        <v>34</v>
      </c>
      <c r="I219" t="s">
        <v>26</v>
      </c>
      <c r="J219" s="13">
        <v>2857.91</v>
      </c>
      <c r="K219" s="36">
        <f ca="1">DATEDIF(personel[[#This Row],[Date de naissance]], TODAY(), "Y")</f>
        <v>53</v>
      </c>
      <c r="L219" s="36">
        <f ca="1">DATEDIF(personel[[#This Row],[Date d''entrée]], TODAY(), "Y")</f>
        <v>2</v>
      </c>
      <c r="M219" s="1">
        <f>(EDATE(personel[[#This Row],[Date d''entrée]], 12))</f>
        <v>45557</v>
      </c>
    </row>
    <row r="220" spans="1:13" x14ac:dyDescent="0.25">
      <c r="A220" t="s">
        <v>537</v>
      </c>
      <c r="B220" t="s">
        <v>420</v>
      </c>
      <c r="C220" t="s">
        <v>134</v>
      </c>
      <c r="D220" s="11" t="s">
        <v>13</v>
      </c>
      <c r="E220" s="1">
        <v>36891</v>
      </c>
      <c r="F220" s="1">
        <v>44511</v>
      </c>
      <c r="G220" t="s">
        <v>30</v>
      </c>
      <c r="H220" t="s">
        <v>25</v>
      </c>
      <c r="I220" t="s">
        <v>26</v>
      </c>
      <c r="J220" s="13">
        <v>2708.78</v>
      </c>
      <c r="K220" s="36">
        <f ca="1">DATEDIF(personel[[#This Row],[Date de naissance]], TODAY(), "Y")</f>
        <v>25</v>
      </c>
      <c r="L220" s="36">
        <f ca="1">DATEDIF(personel[[#This Row],[Date d''entrée]], TODAY(), "Y")</f>
        <v>4</v>
      </c>
      <c r="M220" s="1">
        <f>(EDATE(personel[[#This Row],[Date d''entrée]], 12))</f>
        <v>44876</v>
      </c>
    </row>
    <row r="221" spans="1:13" x14ac:dyDescent="0.25">
      <c r="A221" t="s">
        <v>538</v>
      </c>
      <c r="B221" t="s">
        <v>539</v>
      </c>
      <c r="C221" t="s">
        <v>438</v>
      </c>
      <c r="D221" s="11" t="s">
        <v>13</v>
      </c>
      <c r="E221" s="1">
        <v>23802</v>
      </c>
      <c r="F221" s="1">
        <v>45177</v>
      </c>
      <c r="G221" t="s">
        <v>42</v>
      </c>
      <c r="H221" t="s">
        <v>25</v>
      </c>
      <c r="I221" t="s">
        <v>26</v>
      </c>
      <c r="J221" s="13">
        <v>3049.12</v>
      </c>
      <c r="K221" s="36">
        <f ca="1">DATEDIF(personel[[#This Row],[Date de naissance]], TODAY(), "Y")</f>
        <v>61</v>
      </c>
      <c r="L221" s="36">
        <f ca="1">DATEDIF(personel[[#This Row],[Date d''entrée]], TODAY(), "Y")</f>
        <v>2</v>
      </c>
      <c r="M221" s="1">
        <f>(EDATE(personel[[#This Row],[Date d''entrée]], 12))</f>
        <v>45543</v>
      </c>
    </row>
    <row r="222" spans="1:13" x14ac:dyDescent="0.25">
      <c r="A222" t="s">
        <v>540</v>
      </c>
      <c r="B222" t="s">
        <v>427</v>
      </c>
      <c r="C222" t="s">
        <v>176</v>
      </c>
      <c r="D222" s="11" t="s">
        <v>13</v>
      </c>
      <c r="E222" s="1">
        <v>38091</v>
      </c>
      <c r="F222" s="1">
        <v>44824</v>
      </c>
      <c r="G222" t="s">
        <v>14</v>
      </c>
      <c r="H222" t="s">
        <v>15</v>
      </c>
      <c r="I222" t="s">
        <v>26</v>
      </c>
      <c r="J222" s="13">
        <v>4388.8</v>
      </c>
      <c r="K222" s="36">
        <f ca="1">DATEDIF(personel[[#This Row],[Date de naissance]], TODAY(), "Y")</f>
        <v>22</v>
      </c>
      <c r="L222" s="36">
        <f ca="1">DATEDIF(personel[[#This Row],[Date d''entrée]], TODAY(), "Y")</f>
        <v>3</v>
      </c>
      <c r="M222" s="1">
        <f>(EDATE(personel[[#This Row],[Date d''entrée]], 12))</f>
        <v>45189</v>
      </c>
    </row>
    <row r="223" spans="1:13" x14ac:dyDescent="0.25">
      <c r="A223" t="s">
        <v>541</v>
      </c>
      <c r="B223" t="s">
        <v>259</v>
      </c>
      <c r="C223" t="s">
        <v>493</v>
      </c>
      <c r="D223" s="11" t="s">
        <v>20</v>
      </c>
      <c r="E223" s="1">
        <v>23128</v>
      </c>
      <c r="F223" s="1">
        <v>44161</v>
      </c>
      <c r="G223" t="s">
        <v>14</v>
      </c>
      <c r="H223" t="s">
        <v>25</v>
      </c>
      <c r="I223" t="s">
        <v>26</v>
      </c>
      <c r="J223" s="13">
        <v>1879.64</v>
      </c>
      <c r="K223" s="36">
        <f ca="1">DATEDIF(personel[[#This Row],[Date de naissance]], TODAY(), "Y")</f>
        <v>63</v>
      </c>
      <c r="L223" s="36">
        <f ca="1">DATEDIF(personel[[#This Row],[Date d''entrée]], TODAY(), "Y")</f>
        <v>5</v>
      </c>
      <c r="M223" s="1">
        <f>(EDATE(personel[[#This Row],[Date d''entrée]], 12))</f>
        <v>44526</v>
      </c>
    </row>
    <row r="224" spans="1:13" x14ac:dyDescent="0.25">
      <c r="A224" t="s">
        <v>542</v>
      </c>
      <c r="B224" t="s">
        <v>543</v>
      </c>
      <c r="C224" t="s">
        <v>445</v>
      </c>
      <c r="D224" s="11" t="s">
        <v>20</v>
      </c>
      <c r="E224" s="1">
        <v>36807</v>
      </c>
      <c r="F224" s="1">
        <v>45417</v>
      </c>
      <c r="G224" t="s">
        <v>30</v>
      </c>
      <c r="H224" t="s">
        <v>34</v>
      </c>
      <c r="I224" t="s">
        <v>26</v>
      </c>
      <c r="J224" s="13">
        <v>3411.76</v>
      </c>
      <c r="K224" s="36">
        <f ca="1">DATEDIF(personel[[#This Row],[Date de naissance]], TODAY(), "Y")</f>
        <v>25</v>
      </c>
      <c r="L224" s="36">
        <f ca="1">DATEDIF(personel[[#This Row],[Date d''entrée]], TODAY(), "Y")</f>
        <v>2</v>
      </c>
      <c r="M224" s="1">
        <f>(EDATE(personel[[#This Row],[Date d''entrée]], 12))</f>
        <v>45782</v>
      </c>
    </row>
    <row r="225" spans="1:13" x14ac:dyDescent="0.25">
      <c r="A225" t="s">
        <v>544</v>
      </c>
      <c r="B225" t="s">
        <v>490</v>
      </c>
      <c r="C225" t="s">
        <v>129</v>
      </c>
      <c r="D225" s="11" t="s">
        <v>13</v>
      </c>
      <c r="E225" s="1">
        <v>25147</v>
      </c>
      <c r="F225" s="1">
        <v>42616</v>
      </c>
      <c r="G225" t="s">
        <v>42</v>
      </c>
      <c r="H225" t="s">
        <v>25</v>
      </c>
      <c r="I225" t="s">
        <v>26</v>
      </c>
      <c r="J225" s="13">
        <v>2032.37</v>
      </c>
      <c r="K225" s="36">
        <f ca="1">DATEDIF(personel[[#This Row],[Date de naissance]], TODAY(), "Y")</f>
        <v>57</v>
      </c>
      <c r="L225" s="36">
        <f ca="1">DATEDIF(personel[[#This Row],[Date d''entrée]], TODAY(), "Y")</f>
        <v>9</v>
      </c>
      <c r="M225" s="1">
        <f>(EDATE(personel[[#This Row],[Date d''entrée]], 12))</f>
        <v>42981</v>
      </c>
    </row>
    <row r="226" spans="1:13" x14ac:dyDescent="0.25">
      <c r="A226" t="s">
        <v>545</v>
      </c>
      <c r="B226" t="s">
        <v>112</v>
      </c>
      <c r="C226" t="s">
        <v>37</v>
      </c>
      <c r="D226" s="11" t="s">
        <v>20</v>
      </c>
      <c r="E226" s="1">
        <v>27041</v>
      </c>
      <c r="F226" s="1">
        <v>42911</v>
      </c>
      <c r="G226" t="s">
        <v>42</v>
      </c>
      <c r="H226" t="s">
        <v>25</v>
      </c>
      <c r="I226" t="s">
        <v>26</v>
      </c>
      <c r="J226" s="13">
        <v>2716.84</v>
      </c>
      <c r="K226" s="36">
        <f ca="1">DATEDIF(personel[[#This Row],[Date de naissance]], TODAY(), "Y")</f>
        <v>52</v>
      </c>
      <c r="L226" s="36">
        <f ca="1">DATEDIF(personel[[#This Row],[Date d''entrée]], TODAY(), "Y")</f>
        <v>8</v>
      </c>
      <c r="M226" s="1">
        <f>(EDATE(personel[[#This Row],[Date d''entrée]], 12))</f>
        <v>43276</v>
      </c>
    </row>
    <row r="227" spans="1:13" x14ac:dyDescent="0.25">
      <c r="A227" t="s">
        <v>546</v>
      </c>
      <c r="B227" t="s">
        <v>547</v>
      </c>
      <c r="C227" t="s">
        <v>548</v>
      </c>
      <c r="D227" s="11" t="s">
        <v>20</v>
      </c>
      <c r="E227" s="1">
        <v>33268</v>
      </c>
      <c r="F227" s="1">
        <v>43913</v>
      </c>
      <c r="G227" t="s">
        <v>42</v>
      </c>
      <c r="H227" t="s">
        <v>25</v>
      </c>
      <c r="I227" t="s">
        <v>16</v>
      </c>
      <c r="J227" s="13">
        <v>3653.37</v>
      </c>
      <c r="K227" s="36">
        <f ca="1">DATEDIF(personel[[#This Row],[Date de naissance]], TODAY(), "Y")</f>
        <v>35</v>
      </c>
      <c r="L227" s="36">
        <f ca="1">DATEDIF(personel[[#This Row],[Date d''entrée]], TODAY(), "Y")</f>
        <v>6</v>
      </c>
      <c r="M227" s="1">
        <f>(EDATE(personel[[#This Row],[Date d''entrée]], 12))</f>
        <v>44278</v>
      </c>
    </row>
    <row r="228" spans="1:13" x14ac:dyDescent="0.25">
      <c r="A228" t="s">
        <v>549</v>
      </c>
      <c r="B228" t="s">
        <v>550</v>
      </c>
      <c r="C228" t="s">
        <v>195</v>
      </c>
      <c r="D228" s="11" t="s">
        <v>13</v>
      </c>
      <c r="E228" s="1">
        <v>29931</v>
      </c>
      <c r="F228" s="1">
        <v>45474</v>
      </c>
      <c r="G228" t="s">
        <v>42</v>
      </c>
      <c r="H228" t="s">
        <v>25</v>
      </c>
      <c r="I228" t="s">
        <v>26</v>
      </c>
      <c r="J228" s="13">
        <v>3038.57</v>
      </c>
      <c r="K228" s="36">
        <f ca="1">DATEDIF(personel[[#This Row],[Date de naissance]], TODAY(), "Y")</f>
        <v>44</v>
      </c>
      <c r="L228" s="36">
        <f ca="1">DATEDIF(personel[[#This Row],[Date d''entrée]], TODAY(), "Y")</f>
        <v>1</v>
      </c>
      <c r="M228" s="1">
        <f>(EDATE(personel[[#This Row],[Date d''entrée]], 12))</f>
        <v>45839</v>
      </c>
    </row>
    <row r="229" spans="1:13" x14ac:dyDescent="0.25">
      <c r="A229" t="s">
        <v>551</v>
      </c>
      <c r="B229" t="s">
        <v>552</v>
      </c>
      <c r="C229" t="s">
        <v>553</v>
      </c>
      <c r="D229" s="11" t="s">
        <v>20</v>
      </c>
      <c r="E229" s="1">
        <v>37961</v>
      </c>
      <c r="F229" s="1">
        <v>42847</v>
      </c>
      <c r="G229" t="s">
        <v>30</v>
      </c>
      <c r="H229" t="s">
        <v>34</v>
      </c>
      <c r="I229" t="s">
        <v>26</v>
      </c>
      <c r="J229" s="13">
        <v>2353.35</v>
      </c>
      <c r="K229" s="36">
        <f ca="1">DATEDIF(personel[[#This Row],[Date de naissance]], TODAY(), "Y")</f>
        <v>22</v>
      </c>
      <c r="L229" s="36">
        <f ca="1">DATEDIF(personel[[#This Row],[Date d''entrée]], TODAY(), "Y")</f>
        <v>9</v>
      </c>
      <c r="M229" s="1">
        <f>(EDATE(personel[[#This Row],[Date d''entrée]], 12))</f>
        <v>43212</v>
      </c>
    </row>
    <row r="230" spans="1:13" x14ac:dyDescent="0.25">
      <c r="A230" t="s">
        <v>554</v>
      </c>
      <c r="B230" t="s">
        <v>555</v>
      </c>
      <c r="C230" t="s">
        <v>279</v>
      </c>
      <c r="D230" s="11" t="s">
        <v>13</v>
      </c>
      <c r="E230" s="1">
        <v>29421</v>
      </c>
      <c r="F230" s="1">
        <v>45237</v>
      </c>
      <c r="G230" t="s">
        <v>14</v>
      </c>
      <c r="H230" t="s">
        <v>15</v>
      </c>
      <c r="I230" t="s">
        <v>26</v>
      </c>
      <c r="J230" s="13">
        <v>2570.8200000000002</v>
      </c>
      <c r="K230" s="36">
        <f ca="1">DATEDIF(personel[[#This Row],[Date de naissance]], TODAY(), "Y")</f>
        <v>45</v>
      </c>
      <c r="L230" s="36">
        <f ca="1">DATEDIF(personel[[#This Row],[Date d''entrée]], TODAY(), "Y")</f>
        <v>2</v>
      </c>
      <c r="M230" s="1">
        <f>(EDATE(personel[[#This Row],[Date d''entrée]], 12))</f>
        <v>45603</v>
      </c>
    </row>
    <row r="231" spans="1:13" x14ac:dyDescent="0.25">
      <c r="A231" t="s">
        <v>556</v>
      </c>
      <c r="B231" t="s">
        <v>557</v>
      </c>
      <c r="C231" t="s">
        <v>316</v>
      </c>
      <c r="D231" s="11" t="s">
        <v>20</v>
      </c>
      <c r="E231" s="1">
        <v>26175</v>
      </c>
      <c r="F231" s="1">
        <v>42770</v>
      </c>
      <c r="G231" t="s">
        <v>14</v>
      </c>
      <c r="H231" t="s">
        <v>49</v>
      </c>
      <c r="I231" t="s">
        <v>26</v>
      </c>
      <c r="J231" s="13">
        <v>3407.76</v>
      </c>
      <c r="K231" s="36">
        <f ca="1">DATEDIF(personel[[#This Row],[Date de naissance]], TODAY(), "Y")</f>
        <v>54</v>
      </c>
      <c r="L231" s="36">
        <f ca="1">DATEDIF(personel[[#This Row],[Date d''entrée]], TODAY(), "Y")</f>
        <v>9</v>
      </c>
      <c r="M231" s="1">
        <f>(EDATE(personel[[#This Row],[Date d''entrée]], 12))</f>
        <v>43135</v>
      </c>
    </row>
    <row r="232" spans="1:13" x14ac:dyDescent="0.25">
      <c r="A232" t="s">
        <v>558</v>
      </c>
      <c r="B232" t="s">
        <v>163</v>
      </c>
      <c r="C232" t="s">
        <v>559</v>
      </c>
      <c r="D232" s="11" t="s">
        <v>13</v>
      </c>
      <c r="E232" s="1">
        <v>24015</v>
      </c>
      <c r="F232" s="1">
        <v>43559</v>
      </c>
      <c r="G232" t="s">
        <v>42</v>
      </c>
      <c r="H232" t="s">
        <v>49</v>
      </c>
      <c r="I232" t="s">
        <v>26</v>
      </c>
      <c r="J232" s="13">
        <v>2561.7800000000002</v>
      </c>
      <c r="K232" s="36">
        <f ca="1">DATEDIF(personel[[#This Row],[Date de naissance]], TODAY(), "Y")</f>
        <v>60</v>
      </c>
      <c r="L232" s="36">
        <f ca="1">DATEDIF(personel[[#This Row],[Date d''entrée]], TODAY(), "Y")</f>
        <v>7</v>
      </c>
      <c r="M232" s="1">
        <f>(EDATE(personel[[#This Row],[Date d''entrée]], 12))</f>
        <v>43925</v>
      </c>
    </row>
    <row r="233" spans="1:13" x14ac:dyDescent="0.25">
      <c r="A233" t="s">
        <v>560</v>
      </c>
      <c r="B233" t="s">
        <v>561</v>
      </c>
      <c r="C233" t="s">
        <v>562</v>
      </c>
      <c r="D233" s="11" t="s">
        <v>13</v>
      </c>
      <c r="E233" s="1">
        <v>30124</v>
      </c>
      <c r="F233" s="1">
        <v>45515</v>
      </c>
      <c r="G233" t="s">
        <v>30</v>
      </c>
      <c r="H233" t="s">
        <v>25</v>
      </c>
      <c r="I233" t="s">
        <v>26</v>
      </c>
      <c r="J233" s="13">
        <v>3129.88</v>
      </c>
      <c r="K233" s="36">
        <f ca="1">DATEDIF(personel[[#This Row],[Date de naissance]], TODAY(), "Y")</f>
        <v>43</v>
      </c>
      <c r="L233" s="36">
        <f ca="1">DATEDIF(personel[[#This Row],[Date d''entrée]], TODAY(), "Y")</f>
        <v>1</v>
      </c>
      <c r="M233" s="1">
        <f>(EDATE(personel[[#This Row],[Date d''entrée]], 12))</f>
        <v>45880</v>
      </c>
    </row>
    <row r="234" spans="1:13" x14ac:dyDescent="0.25">
      <c r="A234" t="s">
        <v>563</v>
      </c>
      <c r="B234" t="s">
        <v>564</v>
      </c>
      <c r="C234" t="s">
        <v>565</v>
      </c>
      <c r="D234" s="11" t="s">
        <v>13</v>
      </c>
      <c r="E234" s="1">
        <v>29885</v>
      </c>
      <c r="F234" s="1">
        <v>43929</v>
      </c>
      <c r="G234" t="s">
        <v>42</v>
      </c>
      <c r="H234" t="s">
        <v>25</v>
      </c>
      <c r="I234" t="s">
        <v>26</v>
      </c>
      <c r="J234" s="13">
        <v>3027.34</v>
      </c>
      <c r="K234" s="36">
        <f ca="1">DATEDIF(personel[[#This Row],[Date de naissance]], TODAY(), "Y")</f>
        <v>44</v>
      </c>
      <c r="L234" s="36">
        <f ca="1">DATEDIF(personel[[#This Row],[Date d''entrée]], TODAY(), "Y")</f>
        <v>6</v>
      </c>
      <c r="M234" s="1">
        <f>(EDATE(personel[[#This Row],[Date d''entrée]], 12))</f>
        <v>44294</v>
      </c>
    </row>
    <row r="235" spans="1:13" x14ac:dyDescent="0.25">
      <c r="A235" t="s">
        <v>566</v>
      </c>
      <c r="B235" t="s">
        <v>567</v>
      </c>
      <c r="C235" t="s">
        <v>404</v>
      </c>
      <c r="D235" s="11" t="s">
        <v>13</v>
      </c>
      <c r="E235" s="1">
        <v>36706</v>
      </c>
      <c r="F235" s="1">
        <v>43290</v>
      </c>
      <c r="G235" t="s">
        <v>30</v>
      </c>
      <c r="H235" t="s">
        <v>21</v>
      </c>
      <c r="I235" t="s">
        <v>26</v>
      </c>
      <c r="J235" s="13">
        <v>2609.04</v>
      </c>
      <c r="K235" s="36">
        <f ca="1">DATEDIF(personel[[#This Row],[Date de naissance]], TODAY(), "Y")</f>
        <v>25</v>
      </c>
      <c r="L235" s="36">
        <f ca="1">DATEDIF(personel[[#This Row],[Date d''entrée]], TODAY(), "Y")</f>
        <v>7</v>
      </c>
      <c r="M235" s="1">
        <f>(EDATE(personel[[#This Row],[Date d''entrée]], 12))</f>
        <v>43655</v>
      </c>
    </row>
    <row r="236" spans="1:13" x14ac:dyDescent="0.25">
      <c r="A236" t="s">
        <v>568</v>
      </c>
      <c r="B236" t="s">
        <v>569</v>
      </c>
      <c r="C236" t="s">
        <v>248</v>
      </c>
      <c r="D236" s="11" t="s">
        <v>20</v>
      </c>
      <c r="E236" s="1">
        <v>37554</v>
      </c>
      <c r="F236" s="1">
        <v>44597</v>
      </c>
      <c r="G236" t="s">
        <v>14</v>
      </c>
      <c r="H236" t="s">
        <v>49</v>
      </c>
      <c r="I236" t="s">
        <v>79</v>
      </c>
      <c r="J236" s="13">
        <v>4286.37</v>
      </c>
      <c r="K236" s="36">
        <f ca="1">DATEDIF(personel[[#This Row],[Date de naissance]], TODAY(), "Y")</f>
        <v>23</v>
      </c>
      <c r="L236" s="36">
        <f ca="1">DATEDIF(personel[[#This Row],[Date d''entrée]], TODAY(), "Y")</f>
        <v>4</v>
      </c>
      <c r="M236" s="1">
        <f>(EDATE(personel[[#This Row],[Date d''entrée]], 12))</f>
        <v>44962</v>
      </c>
    </row>
    <row r="237" spans="1:13" x14ac:dyDescent="0.25">
      <c r="A237" t="s">
        <v>570</v>
      </c>
      <c r="B237" t="s">
        <v>370</v>
      </c>
      <c r="C237" t="s">
        <v>326</v>
      </c>
      <c r="D237" s="11" t="s">
        <v>13</v>
      </c>
      <c r="E237" s="1">
        <v>35076</v>
      </c>
      <c r="F237" s="1">
        <v>43991</v>
      </c>
      <c r="G237" t="s">
        <v>30</v>
      </c>
      <c r="H237" t="s">
        <v>15</v>
      </c>
      <c r="I237" t="s">
        <v>26</v>
      </c>
      <c r="J237" s="13">
        <v>3380.35</v>
      </c>
      <c r="K237" s="36">
        <f ca="1">DATEDIF(personel[[#This Row],[Date de naissance]], TODAY(), "Y")</f>
        <v>30</v>
      </c>
      <c r="L237" s="36">
        <f ca="1">DATEDIF(personel[[#This Row],[Date d''entrée]], TODAY(), "Y")</f>
        <v>5</v>
      </c>
      <c r="M237" s="1">
        <f>(EDATE(personel[[#This Row],[Date d''entrée]], 12))</f>
        <v>44356</v>
      </c>
    </row>
    <row r="238" spans="1:13" x14ac:dyDescent="0.25">
      <c r="A238" t="s">
        <v>571</v>
      </c>
      <c r="B238" t="s">
        <v>572</v>
      </c>
      <c r="C238" t="s">
        <v>462</v>
      </c>
      <c r="D238" s="11" t="s">
        <v>13</v>
      </c>
      <c r="E238" s="1">
        <v>23101</v>
      </c>
      <c r="F238" s="1">
        <v>42943</v>
      </c>
      <c r="G238" t="s">
        <v>14</v>
      </c>
      <c r="H238" t="s">
        <v>25</v>
      </c>
      <c r="I238" t="s">
        <v>26</v>
      </c>
      <c r="J238" s="13">
        <v>1800</v>
      </c>
      <c r="K238" s="36">
        <f ca="1">DATEDIF(personel[[#This Row],[Date de naissance]], TODAY(), "Y")</f>
        <v>63</v>
      </c>
      <c r="L238" s="36">
        <f ca="1">DATEDIF(personel[[#This Row],[Date d''entrée]], TODAY(), "Y")</f>
        <v>8</v>
      </c>
      <c r="M238" s="1">
        <f>(EDATE(personel[[#This Row],[Date d''entrée]], 12))</f>
        <v>43308</v>
      </c>
    </row>
    <row r="239" spans="1:13" x14ac:dyDescent="0.25">
      <c r="A239" t="s">
        <v>573</v>
      </c>
      <c r="B239" t="s">
        <v>574</v>
      </c>
      <c r="C239" t="s">
        <v>575</v>
      </c>
      <c r="D239" s="11" t="s">
        <v>20</v>
      </c>
      <c r="E239" s="1">
        <v>31827</v>
      </c>
      <c r="F239" s="1">
        <v>44965</v>
      </c>
      <c r="G239" t="s">
        <v>30</v>
      </c>
      <c r="H239" t="s">
        <v>34</v>
      </c>
      <c r="I239" t="s">
        <v>26</v>
      </c>
      <c r="J239" s="13">
        <v>3111.87</v>
      </c>
      <c r="K239" s="36">
        <f ca="1">DATEDIF(personel[[#This Row],[Date de naissance]], TODAY(), "Y")</f>
        <v>39</v>
      </c>
      <c r="L239" s="36">
        <f ca="1">DATEDIF(personel[[#This Row],[Date d''entrée]], TODAY(), "Y")</f>
        <v>3</v>
      </c>
      <c r="M239" s="1">
        <f>(EDATE(personel[[#This Row],[Date d''entrée]], 12))</f>
        <v>45330</v>
      </c>
    </row>
    <row r="240" spans="1:13" x14ac:dyDescent="0.25">
      <c r="A240" t="s">
        <v>576</v>
      </c>
      <c r="B240" t="s">
        <v>392</v>
      </c>
      <c r="C240" t="s">
        <v>296</v>
      </c>
      <c r="D240" s="11" t="s">
        <v>20</v>
      </c>
      <c r="E240" s="1">
        <v>33533</v>
      </c>
      <c r="F240" s="1">
        <v>44958</v>
      </c>
      <c r="G240" t="s">
        <v>30</v>
      </c>
      <c r="H240" t="s">
        <v>15</v>
      </c>
      <c r="I240" t="s">
        <v>79</v>
      </c>
      <c r="J240" s="13">
        <v>2602.9299999999998</v>
      </c>
      <c r="K240" s="36">
        <f ca="1">DATEDIF(personel[[#This Row],[Date de naissance]], TODAY(), "Y")</f>
        <v>34</v>
      </c>
      <c r="L240" s="36">
        <f ca="1">DATEDIF(personel[[#This Row],[Date d''entrée]], TODAY(), "Y")</f>
        <v>3</v>
      </c>
      <c r="M240" s="1">
        <f>(EDATE(personel[[#This Row],[Date d''entrée]], 12))</f>
        <v>45323</v>
      </c>
    </row>
    <row r="241" spans="1:13" x14ac:dyDescent="0.25">
      <c r="A241" t="s">
        <v>577</v>
      </c>
      <c r="B241" t="s">
        <v>578</v>
      </c>
      <c r="C241" t="s">
        <v>387</v>
      </c>
      <c r="D241" s="11" t="s">
        <v>13</v>
      </c>
      <c r="E241" s="1">
        <v>30743</v>
      </c>
      <c r="F241" s="1">
        <v>43771</v>
      </c>
      <c r="G241" t="s">
        <v>14</v>
      </c>
      <c r="H241" t="s">
        <v>49</v>
      </c>
      <c r="I241" t="s">
        <v>26</v>
      </c>
      <c r="J241" s="13">
        <v>3511.46</v>
      </c>
      <c r="K241" s="36">
        <f ca="1">DATEDIF(personel[[#This Row],[Date de naissance]], TODAY(), "Y")</f>
        <v>42</v>
      </c>
      <c r="L241" s="36">
        <f ca="1">DATEDIF(personel[[#This Row],[Date d''entrée]], TODAY(), "Y")</f>
        <v>6</v>
      </c>
      <c r="M241" s="1">
        <f>(EDATE(personel[[#This Row],[Date d''entrée]], 12))</f>
        <v>44137</v>
      </c>
    </row>
    <row r="242" spans="1:13" x14ac:dyDescent="0.25">
      <c r="A242" t="s">
        <v>579</v>
      </c>
      <c r="B242" t="s">
        <v>580</v>
      </c>
      <c r="C242" t="s">
        <v>445</v>
      </c>
      <c r="D242" s="11" t="s">
        <v>13</v>
      </c>
      <c r="E242" s="1">
        <v>34789</v>
      </c>
      <c r="F242" s="1">
        <v>45490</v>
      </c>
      <c r="G242" t="s">
        <v>30</v>
      </c>
      <c r="H242" t="s">
        <v>15</v>
      </c>
      <c r="I242" t="s">
        <v>26</v>
      </c>
      <c r="J242" s="13">
        <v>2524.4899999999998</v>
      </c>
      <c r="K242" s="36">
        <f ca="1">DATEDIF(personel[[#This Row],[Date de naissance]], TODAY(), "Y")</f>
        <v>31</v>
      </c>
      <c r="L242" s="36">
        <f ca="1">DATEDIF(personel[[#This Row],[Date d''entrée]], TODAY(), "Y")</f>
        <v>1</v>
      </c>
      <c r="M242" s="1">
        <f>(EDATE(personel[[#This Row],[Date d''entrée]], 12))</f>
        <v>45855</v>
      </c>
    </row>
    <row r="243" spans="1:13" x14ac:dyDescent="0.25">
      <c r="A243" t="s">
        <v>581</v>
      </c>
      <c r="B243" t="s">
        <v>582</v>
      </c>
      <c r="C243" t="s">
        <v>583</v>
      </c>
      <c r="D243" s="11" t="s">
        <v>13</v>
      </c>
      <c r="E243" s="1">
        <v>27440</v>
      </c>
      <c r="F243" s="1">
        <v>42711</v>
      </c>
      <c r="G243" t="s">
        <v>14</v>
      </c>
      <c r="H243" t="s">
        <v>38</v>
      </c>
      <c r="I243" t="s">
        <v>26</v>
      </c>
      <c r="J243" s="13">
        <v>2931.16</v>
      </c>
      <c r="K243" s="36">
        <f ca="1">DATEDIF(personel[[#This Row],[Date de naissance]], TODAY(), "Y")</f>
        <v>51</v>
      </c>
      <c r="L243" s="36">
        <f ca="1">DATEDIF(personel[[#This Row],[Date d''entrée]], TODAY(), "Y")</f>
        <v>9</v>
      </c>
      <c r="M243" s="1">
        <f>(EDATE(personel[[#This Row],[Date d''entrée]], 12))</f>
        <v>43076</v>
      </c>
    </row>
    <row r="244" spans="1:13" x14ac:dyDescent="0.25">
      <c r="A244" t="s">
        <v>584</v>
      </c>
      <c r="B244" t="s">
        <v>585</v>
      </c>
      <c r="C244" t="s">
        <v>586</v>
      </c>
      <c r="D244" s="11" t="s">
        <v>13</v>
      </c>
      <c r="E244" s="1">
        <v>34262</v>
      </c>
      <c r="F244" s="1">
        <v>43086</v>
      </c>
      <c r="G244" t="s">
        <v>42</v>
      </c>
      <c r="H244" t="s">
        <v>21</v>
      </c>
      <c r="I244" t="s">
        <v>26</v>
      </c>
      <c r="J244" s="13">
        <v>3302.99</v>
      </c>
      <c r="K244" s="36">
        <f ca="1">DATEDIF(personel[[#This Row],[Date de naissance]], TODAY(), "Y")</f>
        <v>32</v>
      </c>
      <c r="L244" s="36">
        <f ca="1">DATEDIF(personel[[#This Row],[Date d''entrée]], TODAY(), "Y")</f>
        <v>8</v>
      </c>
      <c r="M244" s="1">
        <f>(EDATE(personel[[#This Row],[Date d''entrée]], 12))</f>
        <v>43451</v>
      </c>
    </row>
    <row r="245" spans="1:13" x14ac:dyDescent="0.25">
      <c r="A245" t="s">
        <v>587</v>
      </c>
      <c r="B245" t="s">
        <v>504</v>
      </c>
      <c r="C245" t="s">
        <v>442</v>
      </c>
      <c r="D245" s="11" t="s">
        <v>13</v>
      </c>
      <c r="E245" s="1">
        <v>37784</v>
      </c>
      <c r="F245" s="1">
        <v>44860</v>
      </c>
      <c r="G245" t="s">
        <v>14</v>
      </c>
      <c r="H245" t="s">
        <v>15</v>
      </c>
      <c r="I245" t="s">
        <v>26</v>
      </c>
      <c r="J245" s="13">
        <v>3519.45</v>
      </c>
      <c r="K245" s="36">
        <f ca="1">DATEDIF(personel[[#This Row],[Date de naissance]], TODAY(), "Y")</f>
        <v>22</v>
      </c>
      <c r="L245" s="36">
        <f ca="1">DATEDIF(personel[[#This Row],[Date d''entrée]], TODAY(), "Y")</f>
        <v>3</v>
      </c>
      <c r="M245" s="1">
        <f>(EDATE(personel[[#This Row],[Date d''entrée]], 12))</f>
        <v>45225</v>
      </c>
    </row>
    <row r="246" spans="1:13" x14ac:dyDescent="0.25">
      <c r="A246" t="s">
        <v>588</v>
      </c>
      <c r="B246" t="s">
        <v>589</v>
      </c>
      <c r="C246" t="s">
        <v>590</v>
      </c>
      <c r="D246" s="11" t="s">
        <v>13</v>
      </c>
      <c r="E246" s="1">
        <v>24253</v>
      </c>
      <c r="F246" s="1">
        <v>45568</v>
      </c>
      <c r="G246" t="s">
        <v>42</v>
      </c>
      <c r="H246" t="s">
        <v>15</v>
      </c>
      <c r="I246" t="s">
        <v>26</v>
      </c>
      <c r="J246" s="13">
        <v>2279.8200000000002</v>
      </c>
      <c r="K246" s="36">
        <f ca="1">DATEDIF(personel[[#This Row],[Date de naissance]], TODAY(), "Y")</f>
        <v>59</v>
      </c>
      <c r="L246" s="36">
        <f ca="1">DATEDIF(personel[[#This Row],[Date d''entrée]], TODAY(), "Y")</f>
        <v>1</v>
      </c>
      <c r="M246" s="1">
        <f>(EDATE(personel[[#This Row],[Date d''entrée]], 12))</f>
        <v>45933</v>
      </c>
    </row>
    <row r="247" spans="1:13" x14ac:dyDescent="0.25">
      <c r="A247" t="s">
        <v>591</v>
      </c>
      <c r="B247" t="s">
        <v>592</v>
      </c>
      <c r="C247" t="s">
        <v>593</v>
      </c>
      <c r="D247" s="11" t="s">
        <v>13</v>
      </c>
      <c r="E247" s="1">
        <v>32332</v>
      </c>
      <c r="F247" s="1">
        <v>45046</v>
      </c>
      <c r="G247" t="s">
        <v>30</v>
      </c>
      <c r="H247" t="s">
        <v>21</v>
      </c>
      <c r="I247" t="s">
        <v>26</v>
      </c>
      <c r="J247" s="13">
        <v>2799.3</v>
      </c>
      <c r="K247" s="36">
        <f ca="1">DATEDIF(personel[[#This Row],[Date de naissance]], TODAY(), "Y")</f>
        <v>37</v>
      </c>
      <c r="L247" s="36">
        <f ca="1">DATEDIF(personel[[#This Row],[Date d''entrée]], TODAY(), "Y")</f>
        <v>3</v>
      </c>
      <c r="M247" s="1">
        <f>(EDATE(personel[[#This Row],[Date d''entrée]], 12))</f>
        <v>45412</v>
      </c>
    </row>
    <row r="248" spans="1:13" x14ac:dyDescent="0.25">
      <c r="A248" t="s">
        <v>594</v>
      </c>
      <c r="B248" t="s">
        <v>595</v>
      </c>
      <c r="C248" t="s">
        <v>596</v>
      </c>
      <c r="D248" s="11" t="s">
        <v>20</v>
      </c>
      <c r="E248" s="1">
        <v>24143</v>
      </c>
      <c r="F248" s="1">
        <v>44121</v>
      </c>
      <c r="G248" t="s">
        <v>42</v>
      </c>
      <c r="H248" t="s">
        <v>49</v>
      </c>
      <c r="I248" t="s">
        <v>79</v>
      </c>
      <c r="J248" s="13">
        <v>2715.03</v>
      </c>
      <c r="K248" s="36">
        <f ca="1">DATEDIF(personel[[#This Row],[Date de naissance]], TODAY(), "Y")</f>
        <v>60</v>
      </c>
      <c r="L248" s="36">
        <f ca="1">DATEDIF(personel[[#This Row],[Date d''entrée]], TODAY(), "Y")</f>
        <v>5</v>
      </c>
      <c r="M248" s="1">
        <f>(EDATE(personel[[#This Row],[Date d''entrée]], 12))</f>
        <v>44486</v>
      </c>
    </row>
    <row r="249" spans="1:13" x14ac:dyDescent="0.25">
      <c r="A249" t="s">
        <v>597</v>
      </c>
      <c r="B249" t="s">
        <v>74</v>
      </c>
      <c r="C249" t="s">
        <v>140</v>
      </c>
      <c r="D249" s="11" t="s">
        <v>13</v>
      </c>
      <c r="E249" s="1">
        <v>32233</v>
      </c>
      <c r="F249" s="1">
        <v>43768</v>
      </c>
      <c r="G249" t="s">
        <v>30</v>
      </c>
      <c r="H249" t="s">
        <v>34</v>
      </c>
      <c r="I249" t="s">
        <v>26</v>
      </c>
      <c r="J249" s="13">
        <v>2608</v>
      </c>
      <c r="K249" s="36">
        <f ca="1">DATEDIF(personel[[#This Row],[Date de naissance]], TODAY(), "Y")</f>
        <v>38</v>
      </c>
      <c r="L249" s="36">
        <f ca="1">DATEDIF(personel[[#This Row],[Date d''entrée]], TODAY(), "Y")</f>
        <v>6</v>
      </c>
      <c r="M249" s="1">
        <f>(EDATE(personel[[#This Row],[Date d''entrée]], 12))</f>
        <v>44134</v>
      </c>
    </row>
    <row r="250" spans="1:13" x14ac:dyDescent="0.25">
      <c r="A250" t="s">
        <v>598</v>
      </c>
      <c r="B250" t="s">
        <v>599</v>
      </c>
      <c r="C250" t="s">
        <v>600</v>
      </c>
      <c r="D250" s="11" t="s">
        <v>20</v>
      </c>
      <c r="E250" s="1">
        <v>34438</v>
      </c>
      <c r="F250" s="1">
        <v>43348</v>
      </c>
      <c r="G250" t="s">
        <v>30</v>
      </c>
      <c r="H250" t="s">
        <v>38</v>
      </c>
      <c r="I250" t="s">
        <v>26</v>
      </c>
      <c r="J250" s="13">
        <v>4059.27</v>
      </c>
      <c r="K250" s="36">
        <f ca="1">DATEDIF(personel[[#This Row],[Date de naissance]], TODAY(), "Y")</f>
        <v>32</v>
      </c>
      <c r="L250" s="36">
        <f ca="1">DATEDIF(personel[[#This Row],[Date d''entrée]], TODAY(), "Y")</f>
        <v>7</v>
      </c>
      <c r="M250" s="1">
        <f>(EDATE(personel[[#This Row],[Date d''entrée]], 12))</f>
        <v>43713</v>
      </c>
    </row>
    <row r="251" spans="1:13" x14ac:dyDescent="0.25">
      <c r="A251" t="s">
        <v>601</v>
      </c>
      <c r="B251" t="s">
        <v>602</v>
      </c>
      <c r="C251" t="s">
        <v>603</v>
      </c>
      <c r="D251" s="11" t="s">
        <v>20</v>
      </c>
      <c r="E251" s="1">
        <v>36160</v>
      </c>
      <c r="F251" s="1">
        <v>42248</v>
      </c>
      <c r="G251" t="s">
        <v>14</v>
      </c>
      <c r="H251" t="s">
        <v>34</v>
      </c>
      <c r="I251" t="s">
        <v>26</v>
      </c>
      <c r="J251" s="13">
        <v>3242.99</v>
      </c>
      <c r="K251" s="36">
        <f ca="1">DATEDIF(personel[[#This Row],[Date de naissance]], TODAY(), "Y")</f>
        <v>27</v>
      </c>
      <c r="L251" s="36">
        <f ca="1">DATEDIF(personel[[#This Row],[Date d''entrée]], TODAY(), "Y")</f>
        <v>10</v>
      </c>
      <c r="M251" s="1">
        <f>(EDATE(personel[[#This Row],[Date d''entrée]], 12))</f>
        <v>42614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D70B-3A60-410D-A0D5-F180A3BD534A}">
  <sheetPr>
    <tabColor rgb="FFFFC000"/>
  </sheetPr>
  <dimension ref="A1:E358"/>
  <sheetViews>
    <sheetView topLeftCell="A2" workbookViewId="0">
      <selection sqref="A1:E357"/>
    </sheetView>
  </sheetViews>
  <sheetFormatPr baseColWidth="10" defaultRowHeight="15" x14ac:dyDescent="0.25"/>
  <cols>
    <col min="1" max="1" width="13.5" customWidth="1"/>
    <col min="2" max="2" width="12.375" customWidth="1"/>
    <col min="3" max="3" width="10.375" style="1" customWidth="1"/>
    <col min="4" max="4" width="17.375" customWidth="1"/>
    <col min="5" max="5" width="18.375" customWidth="1"/>
  </cols>
  <sheetData>
    <row r="1" spans="1:5" ht="15.75" thickBot="1" x14ac:dyDescent="0.3">
      <c r="A1" s="21" t="s">
        <v>604</v>
      </c>
      <c r="B1" s="21" t="s">
        <v>7</v>
      </c>
      <c r="C1" s="22" t="s">
        <v>605</v>
      </c>
      <c r="D1" s="21" t="s">
        <v>606</v>
      </c>
      <c r="E1" s="21" t="s">
        <v>607</v>
      </c>
    </row>
    <row r="2" spans="1:5" ht="15.75" thickTop="1" x14ac:dyDescent="0.25">
      <c r="A2" s="23" t="s">
        <v>10</v>
      </c>
      <c r="B2" s="24" t="s">
        <v>15</v>
      </c>
      <c r="C2" s="25">
        <v>45505</v>
      </c>
      <c r="D2" s="24" t="s">
        <v>608</v>
      </c>
      <c r="E2" s="26">
        <v>9</v>
      </c>
    </row>
    <row r="3" spans="1:5" x14ac:dyDescent="0.25">
      <c r="A3" s="27" t="s">
        <v>17</v>
      </c>
      <c r="B3" s="28" t="s">
        <v>21</v>
      </c>
      <c r="C3" s="29">
        <v>45566</v>
      </c>
      <c r="D3" s="28" t="s">
        <v>608</v>
      </c>
      <c r="E3" s="30">
        <v>3</v>
      </c>
    </row>
    <row r="4" spans="1:5" x14ac:dyDescent="0.25">
      <c r="A4" s="27" t="s">
        <v>17</v>
      </c>
      <c r="B4" s="28" t="s">
        <v>21</v>
      </c>
      <c r="C4" s="29">
        <v>45536</v>
      </c>
      <c r="D4" s="28" t="s">
        <v>608</v>
      </c>
      <c r="E4" s="30">
        <v>7</v>
      </c>
    </row>
    <row r="5" spans="1:5" x14ac:dyDescent="0.25">
      <c r="A5" s="27" t="s">
        <v>17</v>
      </c>
      <c r="B5" s="28" t="s">
        <v>21</v>
      </c>
      <c r="C5" s="29">
        <v>45536</v>
      </c>
      <c r="D5" s="28" t="s">
        <v>609</v>
      </c>
      <c r="E5" s="30">
        <v>1</v>
      </c>
    </row>
    <row r="6" spans="1:5" x14ac:dyDescent="0.25">
      <c r="A6" s="27" t="s">
        <v>17</v>
      </c>
      <c r="B6" s="28" t="s">
        <v>21</v>
      </c>
      <c r="C6" s="29">
        <v>45627</v>
      </c>
      <c r="D6" s="28" t="s">
        <v>608</v>
      </c>
      <c r="E6" s="30">
        <v>2</v>
      </c>
    </row>
    <row r="7" spans="1:5" x14ac:dyDescent="0.25">
      <c r="A7" s="27" t="s">
        <v>22</v>
      </c>
      <c r="B7" s="28" t="s">
        <v>25</v>
      </c>
      <c r="C7" s="29">
        <v>45413</v>
      </c>
      <c r="D7" s="28" t="s">
        <v>610</v>
      </c>
      <c r="E7" s="30">
        <v>8</v>
      </c>
    </row>
    <row r="8" spans="1:5" x14ac:dyDescent="0.25">
      <c r="A8" s="27" t="s">
        <v>27</v>
      </c>
      <c r="B8" s="28" t="s">
        <v>25</v>
      </c>
      <c r="C8" s="29">
        <v>45323</v>
      </c>
      <c r="D8" s="28" t="s">
        <v>611</v>
      </c>
      <c r="E8" s="30">
        <v>1</v>
      </c>
    </row>
    <row r="9" spans="1:5" x14ac:dyDescent="0.25">
      <c r="A9" s="27" t="s">
        <v>43</v>
      </c>
      <c r="B9" s="28" t="s">
        <v>15</v>
      </c>
      <c r="C9" s="29">
        <v>45352</v>
      </c>
      <c r="D9" s="28" t="s">
        <v>608</v>
      </c>
      <c r="E9" s="30">
        <v>3</v>
      </c>
    </row>
    <row r="10" spans="1:5" x14ac:dyDescent="0.25">
      <c r="A10" s="27" t="s">
        <v>43</v>
      </c>
      <c r="B10" s="28" t="s">
        <v>15</v>
      </c>
      <c r="C10" s="29">
        <v>45474</v>
      </c>
      <c r="D10" s="28" t="s">
        <v>608</v>
      </c>
      <c r="E10" s="30">
        <v>8</v>
      </c>
    </row>
    <row r="11" spans="1:5" x14ac:dyDescent="0.25">
      <c r="A11" s="27" t="s">
        <v>43</v>
      </c>
      <c r="B11" s="28" t="s">
        <v>15</v>
      </c>
      <c r="C11" s="29">
        <v>45413</v>
      </c>
      <c r="D11" s="28" t="s">
        <v>608</v>
      </c>
      <c r="E11" s="30">
        <v>5</v>
      </c>
    </row>
    <row r="12" spans="1:5" x14ac:dyDescent="0.25">
      <c r="A12" s="27" t="s">
        <v>46</v>
      </c>
      <c r="B12" s="28" t="s">
        <v>49</v>
      </c>
      <c r="C12" s="29">
        <v>45505</v>
      </c>
      <c r="D12" s="28" t="s">
        <v>608</v>
      </c>
      <c r="E12" s="30">
        <v>2</v>
      </c>
    </row>
    <row r="13" spans="1:5" x14ac:dyDescent="0.25">
      <c r="A13" s="27" t="s">
        <v>46</v>
      </c>
      <c r="B13" s="28" t="s">
        <v>49</v>
      </c>
      <c r="C13" s="29">
        <v>45444</v>
      </c>
      <c r="D13" s="28" t="s">
        <v>608</v>
      </c>
      <c r="E13" s="30">
        <v>8</v>
      </c>
    </row>
    <row r="14" spans="1:5" x14ac:dyDescent="0.25">
      <c r="A14" s="27" t="s">
        <v>50</v>
      </c>
      <c r="B14" s="28" t="s">
        <v>25</v>
      </c>
      <c r="C14" s="29">
        <v>45352</v>
      </c>
      <c r="D14" s="28" t="s">
        <v>609</v>
      </c>
      <c r="E14" s="30">
        <v>1</v>
      </c>
    </row>
    <row r="15" spans="1:5" x14ac:dyDescent="0.25">
      <c r="A15" s="27" t="s">
        <v>53</v>
      </c>
      <c r="B15" s="28" t="s">
        <v>49</v>
      </c>
      <c r="C15" s="29">
        <v>45505</v>
      </c>
      <c r="D15" s="28" t="s">
        <v>611</v>
      </c>
      <c r="E15" s="30">
        <v>2</v>
      </c>
    </row>
    <row r="16" spans="1:5" x14ac:dyDescent="0.25">
      <c r="A16" s="27" t="s">
        <v>53</v>
      </c>
      <c r="B16" s="28" t="s">
        <v>49</v>
      </c>
      <c r="C16" s="29">
        <v>45505</v>
      </c>
      <c r="D16" s="28" t="s">
        <v>608</v>
      </c>
      <c r="E16" s="30">
        <v>1</v>
      </c>
    </row>
    <row r="17" spans="1:5" x14ac:dyDescent="0.25">
      <c r="A17" s="27" t="s">
        <v>56</v>
      </c>
      <c r="B17" s="28" t="s">
        <v>49</v>
      </c>
      <c r="C17" s="29">
        <v>45505</v>
      </c>
      <c r="D17" s="28" t="s">
        <v>608</v>
      </c>
      <c r="E17" s="30">
        <v>7</v>
      </c>
    </row>
    <row r="18" spans="1:5" x14ac:dyDescent="0.25">
      <c r="A18" s="27" t="s">
        <v>56</v>
      </c>
      <c r="B18" s="28" t="s">
        <v>49</v>
      </c>
      <c r="C18" s="29">
        <v>45352</v>
      </c>
      <c r="D18" s="28" t="s">
        <v>612</v>
      </c>
      <c r="E18" s="30">
        <v>1</v>
      </c>
    </row>
    <row r="19" spans="1:5" x14ac:dyDescent="0.25">
      <c r="A19" s="27" t="s">
        <v>58</v>
      </c>
      <c r="B19" s="28" t="s">
        <v>34</v>
      </c>
      <c r="C19" s="29">
        <v>45536</v>
      </c>
      <c r="D19" s="28" t="s">
        <v>611</v>
      </c>
      <c r="E19" s="30">
        <v>4</v>
      </c>
    </row>
    <row r="20" spans="1:5" x14ac:dyDescent="0.25">
      <c r="A20" s="27" t="s">
        <v>58</v>
      </c>
      <c r="B20" s="28" t="s">
        <v>34</v>
      </c>
      <c r="C20" s="29">
        <v>45536</v>
      </c>
      <c r="D20" s="28" t="s">
        <v>608</v>
      </c>
      <c r="E20" s="30">
        <v>1</v>
      </c>
    </row>
    <row r="21" spans="1:5" x14ac:dyDescent="0.25">
      <c r="A21" s="27" t="s">
        <v>64</v>
      </c>
      <c r="B21" s="28" t="s">
        <v>25</v>
      </c>
      <c r="C21" s="29">
        <v>45413</v>
      </c>
      <c r="D21" s="28" t="s">
        <v>612</v>
      </c>
      <c r="E21" s="30">
        <v>1</v>
      </c>
    </row>
    <row r="22" spans="1:5" x14ac:dyDescent="0.25">
      <c r="A22" s="27" t="s">
        <v>67</v>
      </c>
      <c r="B22" s="28" t="s">
        <v>21</v>
      </c>
      <c r="C22" s="29">
        <v>45383</v>
      </c>
      <c r="D22" s="28" t="s">
        <v>611</v>
      </c>
      <c r="E22" s="30">
        <v>4</v>
      </c>
    </row>
    <row r="23" spans="1:5" x14ac:dyDescent="0.25">
      <c r="A23" s="27" t="s">
        <v>67</v>
      </c>
      <c r="B23" s="28" t="s">
        <v>21</v>
      </c>
      <c r="C23" s="29">
        <v>45413</v>
      </c>
      <c r="D23" s="28" t="s">
        <v>608</v>
      </c>
      <c r="E23" s="30">
        <v>10</v>
      </c>
    </row>
    <row r="24" spans="1:5" x14ac:dyDescent="0.25">
      <c r="A24" s="27" t="s">
        <v>67</v>
      </c>
      <c r="B24" s="28" t="s">
        <v>21</v>
      </c>
      <c r="C24" s="29">
        <v>45323</v>
      </c>
      <c r="D24" s="28" t="s">
        <v>608</v>
      </c>
      <c r="E24" s="30">
        <v>8</v>
      </c>
    </row>
    <row r="25" spans="1:5" x14ac:dyDescent="0.25">
      <c r="A25" s="27" t="s">
        <v>70</v>
      </c>
      <c r="B25" s="28" t="s">
        <v>49</v>
      </c>
      <c r="C25" s="29">
        <v>45413</v>
      </c>
      <c r="D25" s="28" t="s">
        <v>608</v>
      </c>
      <c r="E25" s="30">
        <v>6</v>
      </c>
    </row>
    <row r="26" spans="1:5" x14ac:dyDescent="0.25">
      <c r="A26" s="27" t="s">
        <v>70</v>
      </c>
      <c r="B26" s="28" t="s">
        <v>49</v>
      </c>
      <c r="C26" s="29">
        <v>45444</v>
      </c>
      <c r="D26" s="28" t="s">
        <v>608</v>
      </c>
      <c r="E26" s="30">
        <v>5</v>
      </c>
    </row>
    <row r="27" spans="1:5" x14ac:dyDescent="0.25">
      <c r="A27" s="27" t="s">
        <v>73</v>
      </c>
      <c r="B27" s="28" t="s">
        <v>25</v>
      </c>
      <c r="C27" s="29">
        <v>45536</v>
      </c>
      <c r="D27" s="28" t="s">
        <v>608</v>
      </c>
      <c r="E27" s="30">
        <v>6</v>
      </c>
    </row>
    <row r="28" spans="1:5" x14ac:dyDescent="0.25">
      <c r="A28" s="27" t="s">
        <v>73</v>
      </c>
      <c r="B28" s="28" t="s">
        <v>25</v>
      </c>
      <c r="C28" s="29">
        <v>45536</v>
      </c>
      <c r="D28" s="28" t="s">
        <v>608</v>
      </c>
      <c r="E28" s="30">
        <v>8</v>
      </c>
    </row>
    <row r="29" spans="1:5" x14ac:dyDescent="0.25">
      <c r="A29" s="27" t="s">
        <v>73</v>
      </c>
      <c r="B29" s="28" t="s">
        <v>25</v>
      </c>
      <c r="C29" s="29">
        <v>45383</v>
      </c>
      <c r="D29" s="28" t="s">
        <v>608</v>
      </c>
      <c r="E29" s="30">
        <v>6</v>
      </c>
    </row>
    <row r="30" spans="1:5" x14ac:dyDescent="0.25">
      <c r="A30" s="27" t="s">
        <v>73</v>
      </c>
      <c r="B30" s="28" t="s">
        <v>25</v>
      </c>
      <c r="C30" s="29">
        <v>45474</v>
      </c>
      <c r="D30" s="28" t="s">
        <v>612</v>
      </c>
      <c r="E30" s="30">
        <v>1</v>
      </c>
    </row>
    <row r="31" spans="1:5" x14ac:dyDescent="0.25">
      <c r="A31" s="27" t="s">
        <v>89</v>
      </c>
      <c r="B31" s="28" t="s">
        <v>34</v>
      </c>
      <c r="C31" s="29">
        <v>45323</v>
      </c>
      <c r="D31" s="28" t="s">
        <v>608</v>
      </c>
      <c r="E31" s="30">
        <v>10</v>
      </c>
    </row>
    <row r="32" spans="1:5" x14ac:dyDescent="0.25">
      <c r="A32" s="27" t="s">
        <v>92</v>
      </c>
      <c r="B32" s="28" t="s">
        <v>15</v>
      </c>
      <c r="C32" s="29">
        <v>45536</v>
      </c>
      <c r="D32" s="28" t="s">
        <v>608</v>
      </c>
      <c r="E32" s="30">
        <v>8</v>
      </c>
    </row>
    <row r="33" spans="1:5" x14ac:dyDescent="0.25">
      <c r="A33" s="27" t="s">
        <v>92</v>
      </c>
      <c r="B33" s="28" t="s">
        <v>15</v>
      </c>
      <c r="C33" s="29">
        <v>45566</v>
      </c>
      <c r="D33" s="28" t="s">
        <v>608</v>
      </c>
      <c r="E33" s="30">
        <v>6</v>
      </c>
    </row>
    <row r="34" spans="1:5" x14ac:dyDescent="0.25">
      <c r="A34" s="27" t="s">
        <v>94</v>
      </c>
      <c r="B34" s="28" t="s">
        <v>38</v>
      </c>
      <c r="C34" s="29">
        <v>45444</v>
      </c>
      <c r="D34" s="28" t="s">
        <v>610</v>
      </c>
      <c r="E34" s="30">
        <v>3</v>
      </c>
    </row>
    <row r="35" spans="1:5" x14ac:dyDescent="0.25">
      <c r="A35" s="27" t="s">
        <v>94</v>
      </c>
      <c r="B35" s="28" t="s">
        <v>38</v>
      </c>
      <c r="C35" s="29">
        <v>45383</v>
      </c>
      <c r="D35" s="28" t="s">
        <v>611</v>
      </c>
      <c r="E35" s="30">
        <v>5</v>
      </c>
    </row>
    <row r="36" spans="1:5" x14ac:dyDescent="0.25">
      <c r="A36" s="27" t="s">
        <v>97</v>
      </c>
      <c r="B36" s="28" t="s">
        <v>38</v>
      </c>
      <c r="C36" s="29">
        <v>45413</v>
      </c>
      <c r="D36" s="28" t="s">
        <v>611</v>
      </c>
      <c r="E36" s="30">
        <v>4</v>
      </c>
    </row>
    <row r="37" spans="1:5" x14ac:dyDescent="0.25">
      <c r="A37" s="27" t="s">
        <v>97</v>
      </c>
      <c r="B37" s="28" t="s">
        <v>38</v>
      </c>
      <c r="C37" s="29">
        <v>45627</v>
      </c>
      <c r="D37" s="28" t="s">
        <v>608</v>
      </c>
      <c r="E37" s="30">
        <v>8</v>
      </c>
    </row>
    <row r="38" spans="1:5" x14ac:dyDescent="0.25">
      <c r="A38" s="27" t="s">
        <v>97</v>
      </c>
      <c r="B38" s="28" t="s">
        <v>38</v>
      </c>
      <c r="C38" s="29">
        <v>45292</v>
      </c>
      <c r="D38" s="28" t="s">
        <v>608</v>
      </c>
      <c r="E38" s="30">
        <v>6</v>
      </c>
    </row>
    <row r="39" spans="1:5" x14ac:dyDescent="0.25">
      <c r="A39" s="27" t="s">
        <v>97</v>
      </c>
      <c r="B39" s="28" t="s">
        <v>38</v>
      </c>
      <c r="C39" s="29">
        <v>45292</v>
      </c>
      <c r="D39" s="28" t="s">
        <v>611</v>
      </c>
      <c r="E39" s="30">
        <v>1</v>
      </c>
    </row>
    <row r="40" spans="1:5" x14ac:dyDescent="0.25">
      <c r="A40" s="27" t="s">
        <v>97</v>
      </c>
      <c r="B40" s="28" t="s">
        <v>38</v>
      </c>
      <c r="C40" s="29">
        <v>45536</v>
      </c>
      <c r="D40" s="28" t="s">
        <v>610</v>
      </c>
      <c r="E40" s="30">
        <v>4</v>
      </c>
    </row>
    <row r="41" spans="1:5" x14ac:dyDescent="0.25">
      <c r="A41" s="27" t="s">
        <v>103</v>
      </c>
      <c r="B41" s="28" t="s">
        <v>34</v>
      </c>
      <c r="C41" s="29">
        <v>45597</v>
      </c>
      <c r="D41" s="28" t="s">
        <v>608</v>
      </c>
      <c r="E41" s="30">
        <v>3</v>
      </c>
    </row>
    <row r="42" spans="1:5" x14ac:dyDescent="0.25">
      <c r="A42" s="27" t="s">
        <v>103</v>
      </c>
      <c r="B42" s="28" t="s">
        <v>34</v>
      </c>
      <c r="C42" s="29">
        <v>45323</v>
      </c>
      <c r="D42" s="28" t="s">
        <v>608</v>
      </c>
      <c r="E42" s="30">
        <v>7</v>
      </c>
    </row>
    <row r="43" spans="1:5" x14ac:dyDescent="0.25">
      <c r="A43" s="27" t="s">
        <v>103</v>
      </c>
      <c r="B43" s="28" t="s">
        <v>34</v>
      </c>
      <c r="C43" s="29">
        <v>45292</v>
      </c>
      <c r="D43" s="28" t="s">
        <v>608</v>
      </c>
      <c r="E43" s="30">
        <v>4</v>
      </c>
    </row>
    <row r="44" spans="1:5" x14ac:dyDescent="0.25">
      <c r="A44" s="27" t="s">
        <v>103</v>
      </c>
      <c r="B44" s="28" t="s">
        <v>34</v>
      </c>
      <c r="C44" s="29">
        <v>45627</v>
      </c>
      <c r="D44" s="28" t="s">
        <v>608</v>
      </c>
      <c r="E44" s="30">
        <v>1</v>
      </c>
    </row>
    <row r="45" spans="1:5" x14ac:dyDescent="0.25">
      <c r="A45" s="27" t="s">
        <v>106</v>
      </c>
      <c r="B45" s="28" t="s">
        <v>25</v>
      </c>
      <c r="C45" s="29">
        <v>45292</v>
      </c>
      <c r="D45" s="28" t="s">
        <v>611</v>
      </c>
      <c r="E45" s="30">
        <v>5</v>
      </c>
    </row>
    <row r="46" spans="1:5" x14ac:dyDescent="0.25">
      <c r="A46" s="27" t="s">
        <v>106</v>
      </c>
      <c r="B46" s="28" t="s">
        <v>25</v>
      </c>
      <c r="C46" s="29">
        <v>45505</v>
      </c>
      <c r="D46" s="28" t="s">
        <v>608</v>
      </c>
      <c r="E46" s="30">
        <v>2</v>
      </c>
    </row>
    <row r="47" spans="1:5" x14ac:dyDescent="0.25">
      <c r="A47" s="27" t="s">
        <v>106</v>
      </c>
      <c r="B47" s="28" t="s">
        <v>25</v>
      </c>
      <c r="C47" s="29">
        <v>45474</v>
      </c>
      <c r="D47" s="28" t="s">
        <v>608</v>
      </c>
      <c r="E47" s="30">
        <v>1</v>
      </c>
    </row>
    <row r="48" spans="1:5" x14ac:dyDescent="0.25">
      <c r="A48" s="27" t="s">
        <v>109</v>
      </c>
      <c r="B48" s="28" t="s">
        <v>25</v>
      </c>
      <c r="C48" s="29">
        <v>45292</v>
      </c>
      <c r="D48" s="28" t="s">
        <v>608</v>
      </c>
      <c r="E48" s="30">
        <v>10</v>
      </c>
    </row>
    <row r="49" spans="1:5" x14ac:dyDescent="0.25">
      <c r="A49" s="27" t="s">
        <v>109</v>
      </c>
      <c r="B49" s="28" t="s">
        <v>25</v>
      </c>
      <c r="C49" s="29">
        <v>45566</v>
      </c>
      <c r="D49" s="28" t="s">
        <v>608</v>
      </c>
      <c r="E49" s="30">
        <v>8</v>
      </c>
    </row>
    <row r="50" spans="1:5" x14ac:dyDescent="0.25">
      <c r="A50" s="27" t="s">
        <v>109</v>
      </c>
      <c r="B50" s="28" t="s">
        <v>25</v>
      </c>
      <c r="C50" s="29">
        <v>45383</v>
      </c>
      <c r="D50" s="28" t="s">
        <v>609</v>
      </c>
      <c r="E50" s="30">
        <v>1</v>
      </c>
    </row>
    <row r="51" spans="1:5" x14ac:dyDescent="0.25">
      <c r="A51" s="27" t="s">
        <v>111</v>
      </c>
      <c r="B51" s="28" t="s">
        <v>15</v>
      </c>
      <c r="C51" s="29">
        <v>45292</v>
      </c>
      <c r="D51" s="28" t="s">
        <v>608</v>
      </c>
      <c r="E51" s="30">
        <v>1</v>
      </c>
    </row>
    <row r="52" spans="1:5" x14ac:dyDescent="0.25">
      <c r="A52" s="27" t="s">
        <v>111</v>
      </c>
      <c r="B52" s="28" t="s">
        <v>15</v>
      </c>
      <c r="C52" s="29">
        <v>45627</v>
      </c>
      <c r="D52" s="28" t="s">
        <v>608</v>
      </c>
      <c r="E52" s="30">
        <v>1</v>
      </c>
    </row>
    <row r="53" spans="1:5" x14ac:dyDescent="0.25">
      <c r="A53" s="27" t="s">
        <v>111</v>
      </c>
      <c r="B53" s="28" t="s">
        <v>15</v>
      </c>
      <c r="C53" s="29">
        <v>45323</v>
      </c>
      <c r="D53" s="28" t="s">
        <v>608</v>
      </c>
      <c r="E53" s="30">
        <v>10</v>
      </c>
    </row>
    <row r="54" spans="1:5" x14ac:dyDescent="0.25">
      <c r="A54" s="27" t="s">
        <v>114</v>
      </c>
      <c r="B54" s="28" t="s">
        <v>21</v>
      </c>
      <c r="C54" s="29">
        <v>45352</v>
      </c>
      <c r="D54" s="28" t="s">
        <v>608</v>
      </c>
      <c r="E54" s="30">
        <v>2</v>
      </c>
    </row>
    <row r="55" spans="1:5" x14ac:dyDescent="0.25">
      <c r="A55" s="27" t="s">
        <v>114</v>
      </c>
      <c r="B55" s="28" t="s">
        <v>21</v>
      </c>
      <c r="C55" s="29">
        <v>45536</v>
      </c>
      <c r="D55" s="28" t="s">
        <v>612</v>
      </c>
      <c r="E55" s="30">
        <v>2</v>
      </c>
    </row>
    <row r="56" spans="1:5" x14ac:dyDescent="0.25">
      <c r="A56" s="27" t="s">
        <v>116</v>
      </c>
      <c r="B56" s="28" t="s">
        <v>49</v>
      </c>
      <c r="C56" s="29">
        <v>45597</v>
      </c>
      <c r="D56" s="28" t="s">
        <v>608</v>
      </c>
      <c r="E56" s="30">
        <v>3</v>
      </c>
    </row>
    <row r="57" spans="1:5" x14ac:dyDescent="0.25">
      <c r="A57" s="27" t="s">
        <v>119</v>
      </c>
      <c r="B57" s="28" t="s">
        <v>49</v>
      </c>
      <c r="C57" s="29">
        <v>45597</v>
      </c>
      <c r="D57" s="28" t="s">
        <v>611</v>
      </c>
      <c r="E57" s="30">
        <v>3</v>
      </c>
    </row>
    <row r="58" spans="1:5" x14ac:dyDescent="0.25">
      <c r="A58" s="27" t="s">
        <v>119</v>
      </c>
      <c r="B58" s="28" t="s">
        <v>49</v>
      </c>
      <c r="C58" s="29">
        <v>45474</v>
      </c>
      <c r="D58" s="28" t="s">
        <v>608</v>
      </c>
      <c r="E58" s="30">
        <v>5</v>
      </c>
    </row>
    <row r="59" spans="1:5" x14ac:dyDescent="0.25">
      <c r="A59" s="27" t="s">
        <v>119</v>
      </c>
      <c r="B59" s="28" t="s">
        <v>49</v>
      </c>
      <c r="C59" s="29">
        <v>45597</v>
      </c>
      <c r="D59" s="28" t="s">
        <v>612</v>
      </c>
      <c r="E59" s="30">
        <v>1</v>
      </c>
    </row>
    <row r="60" spans="1:5" x14ac:dyDescent="0.25">
      <c r="A60" s="27" t="s">
        <v>121</v>
      </c>
      <c r="B60" s="28" t="s">
        <v>34</v>
      </c>
      <c r="C60" s="29">
        <v>45383</v>
      </c>
      <c r="D60" s="28" t="s">
        <v>612</v>
      </c>
      <c r="E60" s="30">
        <v>2</v>
      </c>
    </row>
    <row r="61" spans="1:5" x14ac:dyDescent="0.25">
      <c r="A61" s="27" t="s">
        <v>121</v>
      </c>
      <c r="B61" s="28" t="s">
        <v>34</v>
      </c>
      <c r="C61" s="29">
        <v>45352</v>
      </c>
      <c r="D61" s="28" t="s">
        <v>611</v>
      </c>
      <c r="E61" s="30">
        <v>5</v>
      </c>
    </row>
    <row r="62" spans="1:5" x14ac:dyDescent="0.25">
      <c r="A62" s="27" t="s">
        <v>124</v>
      </c>
      <c r="B62" s="28" t="s">
        <v>38</v>
      </c>
      <c r="C62" s="29">
        <v>45292</v>
      </c>
      <c r="D62" s="28" t="s">
        <v>608</v>
      </c>
      <c r="E62" s="30">
        <v>6</v>
      </c>
    </row>
    <row r="63" spans="1:5" x14ac:dyDescent="0.25">
      <c r="A63" s="27" t="s">
        <v>127</v>
      </c>
      <c r="B63" s="28" t="s">
        <v>21</v>
      </c>
      <c r="C63" s="29">
        <v>45566</v>
      </c>
      <c r="D63" s="28" t="s">
        <v>608</v>
      </c>
      <c r="E63" s="30">
        <v>2</v>
      </c>
    </row>
    <row r="64" spans="1:5" x14ac:dyDescent="0.25">
      <c r="A64" s="27" t="s">
        <v>127</v>
      </c>
      <c r="B64" s="28" t="s">
        <v>21</v>
      </c>
      <c r="C64" s="29">
        <v>45566</v>
      </c>
      <c r="D64" s="28" t="s">
        <v>608</v>
      </c>
      <c r="E64" s="30">
        <v>4</v>
      </c>
    </row>
    <row r="65" spans="1:5" x14ac:dyDescent="0.25">
      <c r="A65" s="27" t="s">
        <v>127</v>
      </c>
      <c r="B65" s="28" t="s">
        <v>21</v>
      </c>
      <c r="C65" s="29">
        <v>45566</v>
      </c>
      <c r="D65" s="28" t="s">
        <v>608</v>
      </c>
      <c r="E65" s="30">
        <v>8</v>
      </c>
    </row>
    <row r="66" spans="1:5" x14ac:dyDescent="0.25">
      <c r="A66" s="27" t="s">
        <v>130</v>
      </c>
      <c r="B66" s="28" t="s">
        <v>15</v>
      </c>
      <c r="C66" s="29">
        <v>45383</v>
      </c>
      <c r="D66" s="28" t="s">
        <v>612</v>
      </c>
      <c r="E66" s="30">
        <v>1</v>
      </c>
    </row>
    <row r="67" spans="1:5" x14ac:dyDescent="0.25">
      <c r="A67" s="27" t="s">
        <v>133</v>
      </c>
      <c r="B67" s="28" t="s">
        <v>49</v>
      </c>
      <c r="C67" s="29">
        <v>45413</v>
      </c>
      <c r="D67" s="28" t="s">
        <v>608</v>
      </c>
      <c r="E67" s="30">
        <v>5</v>
      </c>
    </row>
    <row r="68" spans="1:5" x14ac:dyDescent="0.25">
      <c r="A68" s="27" t="s">
        <v>133</v>
      </c>
      <c r="B68" s="28" t="s">
        <v>49</v>
      </c>
      <c r="C68" s="29">
        <v>45505</v>
      </c>
      <c r="D68" s="28" t="s">
        <v>612</v>
      </c>
      <c r="E68" s="30">
        <v>2</v>
      </c>
    </row>
    <row r="69" spans="1:5" x14ac:dyDescent="0.25">
      <c r="A69" s="27" t="s">
        <v>135</v>
      </c>
      <c r="B69" s="28" t="s">
        <v>15</v>
      </c>
      <c r="C69" s="29">
        <v>45566</v>
      </c>
      <c r="D69" s="28" t="s">
        <v>608</v>
      </c>
      <c r="E69" s="30">
        <v>7</v>
      </c>
    </row>
    <row r="70" spans="1:5" x14ac:dyDescent="0.25">
      <c r="A70" s="27" t="s">
        <v>141</v>
      </c>
      <c r="B70" s="28" t="s">
        <v>15</v>
      </c>
      <c r="C70" s="29">
        <v>45597</v>
      </c>
      <c r="D70" s="28" t="s">
        <v>608</v>
      </c>
      <c r="E70" s="30">
        <v>7</v>
      </c>
    </row>
    <row r="71" spans="1:5" x14ac:dyDescent="0.25">
      <c r="A71" s="27" t="s">
        <v>141</v>
      </c>
      <c r="B71" s="28" t="s">
        <v>15</v>
      </c>
      <c r="C71" s="29">
        <v>45413</v>
      </c>
      <c r="D71" s="28" t="s">
        <v>611</v>
      </c>
      <c r="E71" s="30">
        <v>3</v>
      </c>
    </row>
    <row r="72" spans="1:5" x14ac:dyDescent="0.25">
      <c r="A72" s="27" t="s">
        <v>147</v>
      </c>
      <c r="B72" s="28" t="s">
        <v>21</v>
      </c>
      <c r="C72" s="29">
        <v>45566</v>
      </c>
      <c r="D72" s="28" t="s">
        <v>608</v>
      </c>
      <c r="E72" s="30">
        <v>10</v>
      </c>
    </row>
    <row r="73" spans="1:5" x14ac:dyDescent="0.25">
      <c r="A73" s="27" t="s">
        <v>150</v>
      </c>
      <c r="B73" s="28" t="s">
        <v>38</v>
      </c>
      <c r="C73" s="29">
        <v>45474</v>
      </c>
      <c r="D73" s="28" t="s">
        <v>608</v>
      </c>
      <c r="E73" s="30">
        <v>6</v>
      </c>
    </row>
    <row r="74" spans="1:5" x14ac:dyDescent="0.25">
      <c r="A74" s="27" t="s">
        <v>150</v>
      </c>
      <c r="B74" s="28" t="s">
        <v>38</v>
      </c>
      <c r="C74" s="29">
        <v>45444</v>
      </c>
      <c r="D74" s="28" t="s">
        <v>608</v>
      </c>
      <c r="E74" s="30">
        <v>4</v>
      </c>
    </row>
    <row r="75" spans="1:5" x14ac:dyDescent="0.25">
      <c r="A75" s="27" t="s">
        <v>155</v>
      </c>
      <c r="B75" s="28" t="s">
        <v>15</v>
      </c>
      <c r="C75" s="29">
        <v>45536</v>
      </c>
      <c r="D75" s="28" t="s">
        <v>611</v>
      </c>
      <c r="E75" s="30">
        <v>3</v>
      </c>
    </row>
    <row r="76" spans="1:5" x14ac:dyDescent="0.25">
      <c r="A76" s="27" t="s">
        <v>155</v>
      </c>
      <c r="B76" s="28" t="s">
        <v>15</v>
      </c>
      <c r="C76" s="29">
        <v>45474</v>
      </c>
      <c r="D76" s="28" t="s">
        <v>612</v>
      </c>
      <c r="E76" s="30">
        <v>1</v>
      </c>
    </row>
    <row r="77" spans="1:5" x14ac:dyDescent="0.25">
      <c r="A77" s="27" t="s">
        <v>157</v>
      </c>
      <c r="B77" s="28" t="s">
        <v>25</v>
      </c>
      <c r="C77" s="29">
        <v>45627</v>
      </c>
      <c r="D77" s="28" t="s">
        <v>611</v>
      </c>
      <c r="E77" s="30">
        <v>2</v>
      </c>
    </row>
    <row r="78" spans="1:5" x14ac:dyDescent="0.25">
      <c r="A78" s="27" t="s">
        <v>157</v>
      </c>
      <c r="B78" s="28" t="s">
        <v>25</v>
      </c>
      <c r="C78" s="29">
        <v>45505</v>
      </c>
      <c r="D78" s="28" t="s">
        <v>608</v>
      </c>
      <c r="E78" s="30">
        <v>2</v>
      </c>
    </row>
    <row r="79" spans="1:5" x14ac:dyDescent="0.25">
      <c r="A79" s="27" t="s">
        <v>157</v>
      </c>
      <c r="B79" s="28" t="s">
        <v>25</v>
      </c>
      <c r="C79" s="29">
        <v>45627</v>
      </c>
      <c r="D79" s="28" t="s">
        <v>611</v>
      </c>
      <c r="E79" s="30">
        <v>1</v>
      </c>
    </row>
    <row r="80" spans="1:5" x14ac:dyDescent="0.25">
      <c r="A80" s="27" t="s">
        <v>157</v>
      </c>
      <c r="B80" s="28" t="s">
        <v>25</v>
      </c>
      <c r="C80" s="29">
        <v>45413</v>
      </c>
      <c r="D80" s="28" t="s">
        <v>608</v>
      </c>
      <c r="E80" s="30">
        <v>5</v>
      </c>
    </row>
    <row r="81" spans="1:5" x14ac:dyDescent="0.25">
      <c r="A81" s="27" t="s">
        <v>162</v>
      </c>
      <c r="B81" s="28" t="s">
        <v>38</v>
      </c>
      <c r="C81" s="29">
        <v>45536</v>
      </c>
      <c r="D81" s="28" t="s">
        <v>612</v>
      </c>
      <c r="E81" s="30">
        <v>1</v>
      </c>
    </row>
    <row r="82" spans="1:5" x14ac:dyDescent="0.25">
      <c r="A82" s="27" t="s">
        <v>162</v>
      </c>
      <c r="B82" s="28" t="s">
        <v>38</v>
      </c>
      <c r="C82" s="29">
        <v>45474</v>
      </c>
      <c r="D82" s="28" t="s">
        <v>608</v>
      </c>
      <c r="E82" s="30">
        <v>1</v>
      </c>
    </row>
    <row r="83" spans="1:5" x14ac:dyDescent="0.25">
      <c r="A83" s="27" t="s">
        <v>164</v>
      </c>
      <c r="B83" s="28" t="s">
        <v>38</v>
      </c>
      <c r="C83" s="29">
        <v>45536</v>
      </c>
      <c r="D83" s="28" t="s">
        <v>608</v>
      </c>
      <c r="E83" s="30">
        <v>9</v>
      </c>
    </row>
    <row r="84" spans="1:5" x14ac:dyDescent="0.25">
      <c r="A84" s="27" t="s">
        <v>166</v>
      </c>
      <c r="B84" s="28" t="s">
        <v>21</v>
      </c>
      <c r="C84" s="29">
        <v>45566</v>
      </c>
      <c r="D84" s="28" t="s">
        <v>608</v>
      </c>
      <c r="E84" s="30">
        <v>2</v>
      </c>
    </row>
    <row r="85" spans="1:5" x14ac:dyDescent="0.25">
      <c r="A85" s="27" t="s">
        <v>169</v>
      </c>
      <c r="B85" s="28" t="s">
        <v>49</v>
      </c>
      <c r="C85" s="29">
        <v>45444</v>
      </c>
      <c r="D85" s="28" t="s">
        <v>611</v>
      </c>
      <c r="E85" s="30">
        <v>5</v>
      </c>
    </row>
    <row r="86" spans="1:5" x14ac:dyDescent="0.25">
      <c r="A86" s="27" t="s">
        <v>177</v>
      </c>
      <c r="B86" s="28" t="s">
        <v>49</v>
      </c>
      <c r="C86" s="29">
        <v>45536</v>
      </c>
      <c r="D86" s="28" t="s">
        <v>608</v>
      </c>
      <c r="E86" s="30">
        <v>2</v>
      </c>
    </row>
    <row r="87" spans="1:5" x14ac:dyDescent="0.25">
      <c r="A87" s="27" t="s">
        <v>177</v>
      </c>
      <c r="B87" s="28" t="s">
        <v>49</v>
      </c>
      <c r="C87" s="29">
        <v>45474</v>
      </c>
      <c r="D87" s="28" t="s">
        <v>608</v>
      </c>
      <c r="E87" s="30">
        <v>8</v>
      </c>
    </row>
    <row r="88" spans="1:5" x14ac:dyDescent="0.25">
      <c r="A88" s="27" t="s">
        <v>177</v>
      </c>
      <c r="B88" s="28" t="s">
        <v>49</v>
      </c>
      <c r="C88" s="29">
        <v>45413</v>
      </c>
      <c r="D88" s="28" t="s">
        <v>608</v>
      </c>
      <c r="E88" s="30">
        <v>3</v>
      </c>
    </row>
    <row r="89" spans="1:5" x14ac:dyDescent="0.25">
      <c r="A89" s="27" t="s">
        <v>177</v>
      </c>
      <c r="B89" s="28" t="s">
        <v>49</v>
      </c>
      <c r="C89" s="29">
        <v>45536</v>
      </c>
      <c r="D89" s="28" t="s">
        <v>608</v>
      </c>
      <c r="E89" s="30">
        <v>8</v>
      </c>
    </row>
    <row r="90" spans="1:5" x14ac:dyDescent="0.25">
      <c r="A90" s="27" t="s">
        <v>179</v>
      </c>
      <c r="B90" s="28" t="s">
        <v>38</v>
      </c>
      <c r="C90" s="29">
        <v>45323</v>
      </c>
      <c r="D90" s="28" t="s">
        <v>612</v>
      </c>
      <c r="E90" s="30">
        <v>2</v>
      </c>
    </row>
    <row r="91" spans="1:5" x14ac:dyDescent="0.25">
      <c r="A91" s="27" t="s">
        <v>179</v>
      </c>
      <c r="B91" s="28" t="s">
        <v>38</v>
      </c>
      <c r="C91" s="29">
        <v>45627</v>
      </c>
      <c r="D91" s="28" t="s">
        <v>612</v>
      </c>
      <c r="E91" s="30">
        <v>1</v>
      </c>
    </row>
    <row r="92" spans="1:5" x14ac:dyDescent="0.25">
      <c r="A92" s="27" t="s">
        <v>182</v>
      </c>
      <c r="B92" s="28" t="s">
        <v>15</v>
      </c>
      <c r="C92" s="29">
        <v>45323</v>
      </c>
      <c r="D92" s="28" t="s">
        <v>608</v>
      </c>
      <c r="E92" s="30">
        <v>8</v>
      </c>
    </row>
    <row r="93" spans="1:5" x14ac:dyDescent="0.25">
      <c r="A93" s="27" t="s">
        <v>185</v>
      </c>
      <c r="B93" s="28" t="s">
        <v>15</v>
      </c>
      <c r="C93" s="29">
        <v>45627</v>
      </c>
      <c r="D93" s="28" t="s">
        <v>611</v>
      </c>
      <c r="E93" s="30">
        <v>5</v>
      </c>
    </row>
    <row r="94" spans="1:5" x14ac:dyDescent="0.25">
      <c r="A94" s="27" t="s">
        <v>188</v>
      </c>
      <c r="B94" s="28" t="s">
        <v>34</v>
      </c>
      <c r="C94" s="29">
        <v>45413</v>
      </c>
      <c r="D94" s="28" t="s">
        <v>608</v>
      </c>
      <c r="E94" s="30">
        <v>6</v>
      </c>
    </row>
    <row r="95" spans="1:5" x14ac:dyDescent="0.25">
      <c r="A95" s="27" t="s">
        <v>188</v>
      </c>
      <c r="B95" s="28" t="s">
        <v>34</v>
      </c>
      <c r="C95" s="29">
        <v>45323</v>
      </c>
      <c r="D95" s="28" t="s">
        <v>611</v>
      </c>
      <c r="E95" s="30">
        <v>2</v>
      </c>
    </row>
    <row r="96" spans="1:5" x14ac:dyDescent="0.25">
      <c r="A96" s="27" t="s">
        <v>188</v>
      </c>
      <c r="B96" s="28" t="s">
        <v>34</v>
      </c>
      <c r="C96" s="29">
        <v>45597</v>
      </c>
      <c r="D96" s="28" t="s">
        <v>608</v>
      </c>
      <c r="E96" s="30">
        <v>1</v>
      </c>
    </row>
    <row r="97" spans="1:5" x14ac:dyDescent="0.25">
      <c r="A97" s="27" t="s">
        <v>191</v>
      </c>
      <c r="B97" s="28" t="s">
        <v>21</v>
      </c>
      <c r="C97" s="29">
        <v>45444</v>
      </c>
      <c r="D97" s="28" t="s">
        <v>609</v>
      </c>
      <c r="E97" s="30">
        <v>4</v>
      </c>
    </row>
    <row r="98" spans="1:5" x14ac:dyDescent="0.25">
      <c r="A98" s="27" t="s">
        <v>191</v>
      </c>
      <c r="B98" s="28" t="s">
        <v>21</v>
      </c>
      <c r="C98" s="29">
        <v>45474</v>
      </c>
      <c r="D98" s="28" t="s">
        <v>611</v>
      </c>
      <c r="E98" s="30">
        <v>5</v>
      </c>
    </row>
    <row r="99" spans="1:5" x14ac:dyDescent="0.25">
      <c r="A99" s="27" t="s">
        <v>191</v>
      </c>
      <c r="B99" s="28" t="s">
        <v>21</v>
      </c>
      <c r="C99" s="29">
        <v>45323</v>
      </c>
      <c r="D99" s="28" t="s">
        <v>611</v>
      </c>
      <c r="E99" s="30">
        <v>1</v>
      </c>
    </row>
    <row r="100" spans="1:5" x14ac:dyDescent="0.25">
      <c r="A100" s="27" t="s">
        <v>193</v>
      </c>
      <c r="B100" s="28" t="s">
        <v>15</v>
      </c>
      <c r="C100" s="29">
        <v>45505</v>
      </c>
      <c r="D100" s="28" t="s">
        <v>608</v>
      </c>
      <c r="E100" s="30">
        <v>6</v>
      </c>
    </row>
    <row r="101" spans="1:5" x14ac:dyDescent="0.25">
      <c r="A101" s="27" t="s">
        <v>193</v>
      </c>
      <c r="B101" s="28" t="s">
        <v>15</v>
      </c>
      <c r="C101" s="29">
        <v>45323</v>
      </c>
      <c r="D101" s="28" t="s">
        <v>608</v>
      </c>
      <c r="E101" s="30">
        <v>8</v>
      </c>
    </row>
    <row r="102" spans="1:5" x14ac:dyDescent="0.25">
      <c r="A102" s="27" t="s">
        <v>196</v>
      </c>
      <c r="B102" s="28" t="s">
        <v>38</v>
      </c>
      <c r="C102" s="29">
        <v>45292</v>
      </c>
      <c r="D102" s="28" t="s">
        <v>610</v>
      </c>
      <c r="E102" s="30">
        <v>10</v>
      </c>
    </row>
    <row r="103" spans="1:5" x14ac:dyDescent="0.25">
      <c r="A103" s="27" t="s">
        <v>196</v>
      </c>
      <c r="B103" s="28" t="s">
        <v>38</v>
      </c>
      <c r="C103" s="29">
        <v>45352</v>
      </c>
      <c r="D103" s="28" t="s">
        <v>608</v>
      </c>
      <c r="E103" s="30">
        <v>10</v>
      </c>
    </row>
    <row r="104" spans="1:5" x14ac:dyDescent="0.25">
      <c r="A104" s="27" t="s">
        <v>199</v>
      </c>
      <c r="B104" s="28" t="s">
        <v>25</v>
      </c>
      <c r="C104" s="29">
        <v>45505</v>
      </c>
      <c r="D104" s="28" t="s">
        <v>612</v>
      </c>
      <c r="E104" s="30">
        <v>1</v>
      </c>
    </row>
    <row r="105" spans="1:5" x14ac:dyDescent="0.25">
      <c r="A105" s="27" t="s">
        <v>199</v>
      </c>
      <c r="B105" s="28" t="s">
        <v>25</v>
      </c>
      <c r="C105" s="29">
        <v>45444</v>
      </c>
      <c r="D105" s="28" t="s">
        <v>608</v>
      </c>
      <c r="E105" s="30">
        <v>1</v>
      </c>
    </row>
    <row r="106" spans="1:5" x14ac:dyDescent="0.25">
      <c r="A106" s="27" t="s">
        <v>199</v>
      </c>
      <c r="B106" s="28" t="s">
        <v>25</v>
      </c>
      <c r="C106" s="29">
        <v>45413</v>
      </c>
      <c r="D106" s="28" t="s">
        <v>608</v>
      </c>
      <c r="E106" s="30">
        <v>6</v>
      </c>
    </row>
    <row r="107" spans="1:5" x14ac:dyDescent="0.25">
      <c r="A107" s="27" t="s">
        <v>202</v>
      </c>
      <c r="B107" s="28" t="s">
        <v>15</v>
      </c>
      <c r="C107" s="29">
        <v>45323</v>
      </c>
      <c r="D107" s="28" t="s">
        <v>611</v>
      </c>
      <c r="E107" s="30">
        <v>1</v>
      </c>
    </row>
    <row r="108" spans="1:5" x14ac:dyDescent="0.25">
      <c r="A108" s="27" t="s">
        <v>207</v>
      </c>
      <c r="B108" s="28" t="s">
        <v>25</v>
      </c>
      <c r="C108" s="29">
        <v>45505</v>
      </c>
      <c r="D108" s="28" t="s">
        <v>609</v>
      </c>
      <c r="E108" s="30">
        <v>4</v>
      </c>
    </row>
    <row r="109" spans="1:5" x14ac:dyDescent="0.25">
      <c r="A109" s="27" t="s">
        <v>210</v>
      </c>
      <c r="B109" s="28" t="s">
        <v>25</v>
      </c>
      <c r="C109" s="29">
        <v>45292</v>
      </c>
      <c r="D109" s="28" t="s">
        <v>608</v>
      </c>
      <c r="E109" s="30">
        <v>2</v>
      </c>
    </row>
    <row r="110" spans="1:5" x14ac:dyDescent="0.25">
      <c r="A110" s="27" t="s">
        <v>212</v>
      </c>
      <c r="B110" s="28" t="s">
        <v>21</v>
      </c>
      <c r="C110" s="29">
        <v>45597</v>
      </c>
      <c r="D110" s="28" t="s">
        <v>611</v>
      </c>
      <c r="E110" s="30">
        <v>2</v>
      </c>
    </row>
    <row r="111" spans="1:5" x14ac:dyDescent="0.25">
      <c r="A111" s="27" t="s">
        <v>212</v>
      </c>
      <c r="B111" s="28" t="s">
        <v>21</v>
      </c>
      <c r="C111" s="29">
        <v>45292</v>
      </c>
      <c r="D111" s="28" t="s">
        <v>608</v>
      </c>
      <c r="E111" s="30">
        <v>3</v>
      </c>
    </row>
    <row r="112" spans="1:5" x14ac:dyDescent="0.25">
      <c r="A112" s="27" t="s">
        <v>212</v>
      </c>
      <c r="B112" s="28" t="s">
        <v>21</v>
      </c>
      <c r="C112" s="29">
        <v>45292</v>
      </c>
      <c r="D112" s="28" t="s">
        <v>608</v>
      </c>
      <c r="E112" s="30">
        <v>1</v>
      </c>
    </row>
    <row r="113" spans="1:5" x14ac:dyDescent="0.25">
      <c r="A113" s="27" t="s">
        <v>212</v>
      </c>
      <c r="B113" s="28" t="s">
        <v>21</v>
      </c>
      <c r="C113" s="29">
        <v>45597</v>
      </c>
      <c r="D113" s="28" t="s">
        <v>608</v>
      </c>
      <c r="E113" s="30">
        <v>3</v>
      </c>
    </row>
    <row r="114" spans="1:5" x14ac:dyDescent="0.25">
      <c r="A114" s="27" t="s">
        <v>214</v>
      </c>
      <c r="B114" s="28" t="s">
        <v>34</v>
      </c>
      <c r="C114" s="29">
        <v>45536</v>
      </c>
      <c r="D114" s="28" t="s">
        <v>608</v>
      </c>
      <c r="E114" s="30">
        <v>6</v>
      </c>
    </row>
    <row r="115" spans="1:5" x14ac:dyDescent="0.25">
      <c r="A115" s="27" t="s">
        <v>214</v>
      </c>
      <c r="B115" s="28" t="s">
        <v>34</v>
      </c>
      <c r="C115" s="29">
        <v>45323</v>
      </c>
      <c r="D115" s="28" t="s">
        <v>608</v>
      </c>
      <c r="E115" s="30">
        <v>3</v>
      </c>
    </row>
    <row r="116" spans="1:5" x14ac:dyDescent="0.25">
      <c r="A116" s="27" t="s">
        <v>217</v>
      </c>
      <c r="B116" s="28" t="s">
        <v>15</v>
      </c>
      <c r="C116" s="29">
        <v>45566</v>
      </c>
      <c r="D116" s="28" t="s">
        <v>611</v>
      </c>
      <c r="E116" s="30">
        <v>5</v>
      </c>
    </row>
    <row r="117" spans="1:5" x14ac:dyDescent="0.25">
      <c r="A117" s="27" t="s">
        <v>217</v>
      </c>
      <c r="B117" s="28" t="s">
        <v>15</v>
      </c>
      <c r="C117" s="29">
        <v>45383</v>
      </c>
      <c r="D117" s="28" t="s">
        <v>611</v>
      </c>
      <c r="E117" s="30">
        <v>1</v>
      </c>
    </row>
    <row r="118" spans="1:5" x14ac:dyDescent="0.25">
      <c r="A118" s="27" t="s">
        <v>217</v>
      </c>
      <c r="B118" s="28" t="s">
        <v>15</v>
      </c>
      <c r="C118" s="29">
        <v>45383</v>
      </c>
      <c r="D118" s="28" t="s">
        <v>608</v>
      </c>
      <c r="E118" s="30">
        <v>7</v>
      </c>
    </row>
    <row r="119" spans="1:5" x14ac:dyDescent="0.25">
      <c r="A119" s="27" t="s">
        <v>217</v>
      </c>
      <c r="B119" s="28" t="s">
        <v>15</v>
      </c>
      <c r="C119" s="29">
        <v>45566</v>
      </c>
      <c r="D119" s="28" t="s">
        <v>612</v>
      </c>
      <c r="E119" s="30">
        <v>2</v>
      </c>
    </row>
    <row r="120" spans="1:5" x14ac:dyDescent="0.25">
      <c r="A120" s="27" t="s">
        <v>217</v>
      </c>
      <c r="B120" s="28" t="s">
        <v>15</v>
      </c>
      <c r="C120" s="29">
        <v>45597</v>
      </c>
      <c r="D120" s="28" t="s">
        <v>612</v>
      </c>
      <c r="E120" s="30">
        <v>2</v>
      </c>
    </row>
    <row r="121" spans="1:5" x14ac:dyDescent="0.25">
      <c r="A121" s="27" t="s">
        <v>220</v>
      </c>
      <c r="B121" s="28" t="s">
        <v>38</v>
      </c>
      <c r="C121" s="29">
        <v>45566</v>
      </c>
      <c r="D121" s="28" t="s">
        <v>608</v>
      </c>
      <c r="E121" s="30">
        <v>5</v>
      </c>
    </row>
    <row r="122" spans="1:5" x14ac:dyDescent="0.25">
      <c r="A122" s="27" t="s">
        <v>220</v>
      </c>
      <c r="B122" s="28" t="s">
        <v>38</v>
      </c>
      <c r="C122" s="29">
        <v>45383</v>
      </c>
      <c r="D122" s="28" t="s">
        <v>610</v>
      </c>
      <c r="E122" s="30">
        <v>8</v>
      </c>
    </row>
    <row r="123" spans="1:5" x14ac:dyDescent="0.25">
      <c r="A123" s="27" t="s">
        <v>225</v>
      </c>
      <c r="B123" s="28" t="s">
        <v>34</v>
      </c>
      <c r="C123" s="29">
        <v>45597</v>
      </c>
      <c r="D123" s="28" t="s">
        <v>608</v>
      </c>
      <c r="E123" s="30">
        <v>1</v>
      </c>
    </row>
    <row r="124" spans="1:5" x14ac:dyDescent="0.25">
      <c r="A124" s="27" t="s">
        <v>225</v>
      </c>
      <c r="B124" s="28" t="s">
        <v>34</v>
      </c>
      <c r="C124" s="29">
        <v>45505</v>
      </c>
      <c r="D124" s="28" t="s">
        <v>612</v>
      </c>
      <c r="E124" s="30">
        <v>1</v>
      </c>
    </row>
    <row r="125" spans="1:5" x14ac:dyDescent="0.25">
      <c r="A125" s="27" t="s">
        <v>225</v>
      </c>
      <c r="B125" s="28" t="s">
        <v>34</v>
      </c>
      <c r="C125" s="29">
        <v>45566</v>
      </c>
      <c r="D125" s="28" t="s">
        <v>608</v>
      </c>
      <c r="E125" s="30">
        <v>6</v>
      </c>
    </row>
    <row r="126" spans="1:5" x14ac:dyDescent="0.25">
      <c r="A126" s="27" t="s">
        <v>227</v>
      </c>
      <c r="B126" s="28" t="s">
        <v>38</v>
      </c>
      <c r="C126" s="29">
        <v>45352</v>
      </c>
      <c r="D126" s="28" t="s">
        <v>608</v>
      </c>
      <c r="E126" s="30">
        <v>8</v>
      </c>
    </row>
    <row r="127" spans="1:5" x14ac:dyDescent="0.25">
      <c r="A127" s="27" t="s">
        <v>227</v>
      </c>
      <c r="B127" s="28" t="s">
        <v>38</v>
      </c>
      <c r="C127" s="29">
        <v>45597</v>
      </c>
      <c r="D127" s="28" t="s">
        <v>608</v>
      </c>
      <c r="E127" s="30">
        <v>9</v>
      </c>
    </row>
    <row r="128" spans="1:5" x14ac:dyDescent="0.25">
      <c r="A128" s="27" t="s">
        <v>228</v>
      </c>
      <c r="B128" s="28" t="s">
        <v>25</v>
      </c>
      <c r="C128" s="29">
        <v>45597</v>
      </c>
      <c r="D128" s="28" t="s">
        <v>608</v>
      </c>
      <c r="E128" s="30">
        <v>2</v>
      </c>
    </row>
    <row r="129" spans="1:5" x14ac:dyDescent="0.25">
      <c r="A129" s="27" t="s">
        <v>228</v>
      </c>
      <c r="B129" s="28" t="s">
        <v>25</v>
      </c>
      <c r="C129" s="29">
        <v>45627</v>
      </c>
      <c r="D129" s="28" t="s">
        <v>608</v>
      </c>
      <c r="E129" s="30">
        <v>6</v>
      </c>
    </row>
    <row r="130" spans="1:5" x14ac:dyDescent="0.25">
      <c r="A130" s="27" t="s">
        <v>228</v>
      </c>
      <c r="B130" s="28" t="s">
        <v>25</v>
      </c>
      <c r="C130" s="29">
        <v>45352</v>
      </c>
      <c r="D130" s="28" t="s">
        <v>608</v>
      </c>
      <c r="E130" s="30">
        <v>3</v>
      </c>
    </row>
    <row r="131" spans="1:5" x14ac:dyDescent="0.25">
      <c r="A131" s="27" t="s">
        <v>231</v>
      </c>
      <c r="B131" s="28" t="s">
        <v>25</v>
      </c>
      <c r="C131" s="29">
        <v>45352</v>
      </c>
      <c r="D131" s="28" t="s">
        <v>612</v>
      </c>
      <c r="E131" s="30">
        <v>2</v>
      </c>
    </row>
    <row r="132" spans="1:5" x14ac:dyDescent="0.25">
      <c r="A132" s="27" t="s">
        <v>234</v>
      </c>
      <c r="B132" s="28" t="s">
        <v>15</v>
      </c>
      <c r="C132" s="29">
        <v>45352</v>
      </c>
      <c r="D132" s="28" t="s">
        <v>608</v>
      </c>
      <c r="E132" s="30">
        <v>5</v>
      </c>
    </row>
    <row r="133" spans="1:5" x14ac:dyDescent="0.25">
      <c r="A133" s="27" t="s">
        <v>234</v>
      </c>
      <c r="B133" s="28" t="s">
        <v>15</v>
      </c>
      <c r="C133" s="29">
        <v>45505</v>
      </c>
      <c r="D133" s="28" t="s">
        <v>611</v>
      </c>
      <c r="E133" s="30">
        <v>5</v>
      </c>
    </row>
    <row r="134" spans="1:5" x14ac:dyDescent="0.25">
      <c r="A134" s="27" t="s">
        <v>234</v>
      </c>
      <c r="B134" s="28" t="s">
        <v>15</v>
      </c>
      <c r="C134" s="29">
        <v>45566</v>
      </c>
      <c r="D134" s="28" t="s">
        <v>608</v>
      </c>
      <c r="E134" s="30">
        <v>8</v>
      </c>
    </row>
    <row r="135" spans="1:5" x14ac:dyDescent="0.25">
      <c r="A135" s="27" t="s">
        <v>234</v>
      </c>
      <c r="B135" s="28" t="s">
        <v>15</v>
      </c>
      <c r="C135" s="29">
        <v>45323</v>
      </c>
      <c r="D135" s="28" t="s">
        <v>611</v>
      </c>
      <c r="E135" s="30">
        <v>3</v>
      </c>
    </row>
    <row r="136" spans="1:5" x14ac:dyDescent="0.25">
      <c r="A136" s="27" t="s">
        <v>234</v>
      </c>
      <c r="B136" s="28" t="s">
        <v>15</v>
      </c>
      <c r="C136" s="29">
        <v>45383</v>
      </c>
      <c r="D136" s="28" t="s">
        <v>608</v>
      </c>
      <c r="E136" s="30">
        <v>5</v>
      </c>
    </row>
    <row r="137" spans="1:5" x14ac:dyDescent="0.25">
      <c r="A137" s="27" t="s">
        <v>234</v>
      </c>
      <c r="B137" s="28" t="s">
        <v>15</v>
      </c>
      <c r="C137" s="29">
        <v>45536</v>
      </c>
      <c r="D137" s="28" t="s">
        <v>612</v>
      </c>
      <c r="E137" s="30">
        <v>2</v>
      </c>
    </row>
    <row r="138" spans="1:5" x14ac:dyDescent="0.25">
      <c r="A138" s="27" t="s">
        <v>234</v>
      </c>
      <c r="B138" s="28" t="s">
        <v>15</v>
      </c>
      <c r="C138" s="29">
        <v>45413</v>
      </c>
      <c r="D138" s="28" t="s">
        <v>611</v>
      </c>
      <c r="E138" s="30">
        <v>5</v>
      </c>
    </row>
    <row r="139" spans="1:5" x14ac:dyDescent="0.25">
      <c r="A139" s="27" t="s">
        <v>234</v>
      </c>
      <c r="B139" s="28" t="s">
        <v>15</v>
      </c>
      <c r="C139" s="29">
        <v>45413</v>
      </c>
      <c r="D139" s="28" t="s">
        <v>611</v>
      </c>
      <c r="E139" s="30">
        <v>1</v>
      </c>
    </row>
    <row r="140" spans="1:5" x14ac:dyDescent="0.25">
      <c r="A140" s="27" t="s">
        <v>237</v>
      </c>
      <c r="B140" s="28" t="s">
        <v>15</v>
      </c>
      <c r="C140" s="29">
        <v>45566</v>
      </c>
      <c r="D140" s="28" t="s">
        <v>608</v>
      </c>
      <c r="E140" s="30">
        <v>4</v>
      </c>
    </row>
    <row r="141" spans="1:5" x14ac:dyDescent="0.25">
      <c r="A141" s="27" t="s">
        <v>238</v>
      </c>
      <c r="B141" s="28" t="s">
        <v>21</v>
      </c>
      <c r="C141" s="29">
        <v>45536</v>
      </c>
      <c r="D141" s="28" t="s">
        <v>608</v>
      </c>
      <c r="E141" s="30">
        <v>1</v>
      </c>
    </row>
    <row r="142" spans="1:5" x14ac:dyDescent="0.25">
      <c r="A142" s="27" t="s">
        <v>238</v>
      </c>
      <c r="B142" s="28" t="s">
        <v>21</v>
      </c>
      <c r="C142" s="29">
        <v>45597</v>
      </c>
      <c r="D142" s="28" t="s">
        <v>612</v>
      </c>
      <c r="E142" s="30">
        <v>2</v>
      </c>
    </row>
    <row r="143" spans="1:5" x14ac:dyDescent="0.25">
      <c r="A143" s="27" t="s">
        <v>240</v>
      </c>
      <c r="B143" s="28" t="s">
        <v>34</v>
      </c>
      <c r="C143" s="29">
        <v>45474</v>
      </c>
      <c r="D143" s="28" t="s">
        <v>608</v>
      </c>
      <c r="E143" s="30">
        <v>4</v>
      </c>
    </row>
    <row r="144" spans="1:5" x14ac:dyDescent="0.25">
      <c r="A144" s="27" t="s">
        <v>240</v>
      </c>
      <c r="B144" s="28" t="s">
        <v>34</v>
      </c>
      <c r="C144" s="29">
        <v>45292</v>
      </c>
      <c r="D144" s="28" t="s">
        <v>608</v>
      </c>
      <c r="E144" s="30">
        <v>4</v>
      </c>
    </row>
    <row r="145" spans="1:5" x14ac:dyDescent="0.25">
      <c r="A145" s="27" t="s">
        <v>246</v>
      </c>
      <c r="B145" s="28" t="s">
        <v>25</v>
      </c>
      <c r="C145" s="29">
        <v>45323</v>
      </c>
      <c r="D145" s="28" t="s">
        <v>608</v>
      </c>
      <c r="E145" s="30">
        <v>2</v>
      </c>
    </row>
    <row r="146" spans="1:5" x14ac:dyDescent="0.25">
      <c r="A146" s="27" t="s">
        <v>246</v>
      </c>
      <c r="B146" s="28" t="s">
        <v>25</v>
      </c>
      <c r="C146" s="29">
        <v>45566</v>
      </c>
      <c r="D146" s="28" t="s">
        <v>608</v>
      </c>
      <c r="E146" s="30">
        <v>1</v>
      </c>
    </row>
    <row r="147" spans="1:5" x14ac:dyDescent="0.25">
      <c r="A147" s="27" t="s">
        <v>246</v>
      </c>
      <c r="B147" s="28" t="s">
        <v>25</v>
      </c>
      <c r="C147" s="29">
        <v>45597</v>
      </c>
      <c r="D147" s="28" t="s">
        <v>608</v>
      </c>
      <c r="E147" s="30">
        <v>7</v>
      </c>
    </row>
    <row r="148" spans="1:5" x14ac:dyDescent="0.25">
      <c r="A148" s="27" t="s">
        <v>249</v>
      </c>
      <c r="B148" s="28" t="s">
        <v>21</v>
      </c>
      <c r="C148" s="29">
        <v>45323</v>
      </c>
      <c r="D148" s="28" t="s">
        <v>608</v>
      </c>
      <c r="E148" s="30">
        <v>3</v>
      </c>
    </row>
    <row r="149" spans="1:5" x14ac:dyDescent="0.25">
      <c r="A149" s="27" t="s">
        <v>249</v>
      </c>
      <c r="B149" s="28" t="s">
        <v>21</v>
      </c>
      <c r="C149" s="29">
        <v>45597</v>
      </c>
      <c r="D149" s="28" t="s">
        <v>609</v>
      </c>
      <c r="E149" s="30">
        <v>3</v>
      </c>
    </row>
    <row r="150" spans="1:5" x14ac:dyDescent="0.25">
      <c r="A150" s="27" t="s">
        <v>249</v>
      </c>
      <c r="B150" s="28" t="s">
        <v>21</v>
      </c>
      <c r="C150" s="29">
        <v>45292</v>
      </c>
      <c r="D150" s="28" t="s">
        <v>608</v>
      </c>
      <c r="E150" s="30">
        <v>3</v>
      </c>
    </row>
    <row r="151" spans="1:5" x14ac:dyDescent="0.25">
      <c r="A151" s="27" t="s">
        <v>249</v>
      </c>
      <c r="B151" s="28" t="s">
        <v>21</v>
      </c>
      <c r="C151" s="29">
        <v>45597</v>
      </c>
      <c r="D151" s="28" t="s">
        <v>612</v>
      </c>
      <c r="E151" s="30">
        <v>2</v>
      </c>
    </row>
    <row r="152" spans="1:5" x14ac:dyDescent="0.25">
      <c r="A152" s="27" t="s">
        <v>258</v>
      </c>
      <c r="B152" s="28" t="s">
        <v>38</v>
      </c>
      <c r="C152" s="29">
        <v>45444</v>
      </c>
      <c r="D152" s="28" t="s">
        <v>608</v>
      </c>
      <c r="E152" s="30">
        <v>1</v>
      </c>
    </row>
    <row r="153" spans="1:5" x14ac:dyDescent="0.25">
      <c r="A153" s="27" t="s">
        <v>258</v>
      </c>
      <c r="B153" s="28" t="s">
        <v>38</v>
      </c>
      <c r="C153" s="29">
        <v>45505</v>
      </c>
      <c r="D153" s="28" t="s">
        <v>612</v>
      </c>
      <c r="E153" s="30">
        <v>2</v>
      </c>
    </row>
    <row r="154" spans="1:5" x14ac:dyDescent="0.25">
      <c r="A154" s="27" t="s">
        <v>258</v>
      </c>
      <c r="B154" s="28" t="s">
        <v>38</v>
      </c>
      <c r="C154" s="29">
        <v>45566</v>
      </c>
      <c r="D154" s="28" t="s">
        <v>608</v>
      </c>
      <c r="E154" s="30">
        <v>3</v>
      </c>
    </row>
    <row r="155" spans="1:5" x14ac:dyDescent="0.25">
      <c r="A155" s="27" t="s">
        <v>265</v>
      </c>
      <c r="B155" s="28" t="s">
        <v>38</v>
      </c>
      <c r="C155" s="29">
        <v>45474</v>
      </c>
      <c r="D155" s="28" t="s">
        <v>608</v>
      </c>
      <c r="E155" s="30">
        <v>6</v>
      </c>
    </row>
    <row r="156" spans="1:5" x14ac:dyDescent="0.25">
      <c r="A156" s="27" t="s">
        <v>267</v>
      </c>
      <c r="B156" s="28" t="s">
        <v>49</v>
      </c>
      <c r="C156" s="29">
        <v>45597</v>
      </c>
      <c r="D156" s="28" t="s">
        <v>611</v>
      </c>
      <c r="E156" s="30">
        <v>5</v>
      </c>
    </row>
    <row r="157" spans="1:5" x14ac:dyDescent="0.25">
      <c r="A157" s="27" t="s">
        <v>269</v>
      </c>
      <c r="B157" s="28" t="s">
        <v>25</v>
      </c>
      <c r="C157" s="29">
        <v>45413</v>
      </c>
      <c r="D157" s="28" t="s">
        <v>609</v>
      </c>
      <c r="E157" s="30">
        <v>3</v>
      </c>
    </row>
    <row r="158" spans="1:5" x14ac:dyDescent="0.25">
      <c r="A158" s="27" t="s">
        <v>269</v>
      </c>
      <c r="B158" s="28" t="s">
        <v>25</v>
      </c>
      <c r="C158" s="29">
        <v>45505</v>
      </c>
      <c r="D158" s="28" t="s">
        <v>608</v>
      </c>
      <c r="E158" s="30">
        <v>9</v>
      </c>
    </row>
    <row r="159" spans="1:5" x14ac:dyDescent="0.25">
      <c r="A159" s="27" t="s">
        <v>270</v>
      </c>
      <c r="B159" s="28" t="s">
        <v>34</v>
      </c>
      <c r="C159" s="29">
        <v>45566</v>
      </c>
      <c r="D159" s="28" t="s">
        <v>608</v>
      </c>
      <c r="E159" s="30">
        <v>7</v>
      </c>
    </row>
    <row r="160" spans="1:5" x14ac:dyDescent="0.25">
      <c r="A160" s="27" t="s">
        <v>270</v>
      </c>
      <c r="B160" s="28" t="s">
        <v>34</v>
      </c>
      <c r="C160" s="29">
        <v>45627</v>
      </c>
      <c r="D160" s="28" t="s">
        <v>611</v>
      </c>
      <c r="E160" s="30">
        <v>4</v>
      </c>
    </row>
    <row r="161" spans="1:5" x14ac:dyDescent="0.25">
      <c r="A161" s="27" t="s">
        <v>273</v>
      </c>
      <c r="B161" s="28" t="s">
        <v>49</v>
      </c>
      <c r="C161" s="29">
        <v>45413</v>
      </c>
      <c r="D161" s="28" t="s">
        <v>608</v>
      </c>
      <c r="E161" s="30">
        <v>7</v>
      </c>
    </row>
    <row r="162" spans="1:5" x14ac:dyDescent="0.25">
      <c r="A162" s="27" t="s">
        <v>273</v>
      </c>
      <c r="B162" s="28" t="s">
        <v>49</v>
      </c>
      <c r="C162" s="29">
        <v>45505</v>
      </c>
      <c r="D162" s="28" t="s">
        <v>608</v>
      </c>
      <c r="E162" s="30">
        <v>6</v>
      </c>
    </row>
    <row r="163" spans="1:5" x14ac:dyDescent="0.25">
      <c r="A163" s="27" t="s">
        <v>275</v>
      </c>
      <c r="B163" s="28" t="s">
        <v>21</v>
      </c>
      <c r="C163" s="29">
        <v>45536</v>
      </c>
      <c r="D163" s="28" t="s">
        <v>611</v>
      </c>
      <c r="E163" s="30">
        <v>1</v>
      </c>
    </row>
    <row r="164" spans="1:5" x14ac:dyDescent="0.25">
      <c r="A164" s="27" t="s">
        <v>275</v>
      </c>
      <c r="B164" s="28" t="s">
        <v>21</v>
      </c>
      <c r="C164" s="29">
        <v>45413</v>
      </c>
      <c r="D164" s="28" t="s">
        <v>608</v>
      </c>
      <c r="E164" s="30">
        <v>2</v>
      </c>
    </row>
    <row r="165" spans="1:5" x14ac:dyDescent="0.25">
      <c r="A165" s="27" t="s">
        <v>277</v>
      </c>
      <c r="B165" s="28" t="s">
        <v>38</v>
      </c>
      <c r="C165" s="29">
        <v>45505</v>
      </c>
      <c r="D165" s="28" t="s">
        <v>608</v>
      </c>
      <c r="E165" s="30">
        <v>9</v>
      </c>
    </row>
    <row r="166" spans="1:5" x14ac:dyDescent="0.25">
      <c r="A166" s="27" t="s">
        <v>277</v>
      </c>
      <c r="B166" s="28" t="s">
        <v>38</v>
      </c>
      <c r="C166" s="29">
        <v>45597</v>
      </c>
      <c r="D166" s="28" t="s">
        <v>611</v>
      </c>
      <c r="E166" s="30">
        <v>3</v>
      </c>
    </row>
    <row r="167" spans="1:5" x14ac:dyDescent="0.25">
      <c r="A167" s="27" t="s">
        <v>280</v>
      </c>
      <c r="B167" s="28" t="s">
        <v>21</v>
      </c>
      <c r="C167" s="29">
        <v>45323</v>
      </c>
      <c r="D167" s="28" t="s">
        <v>611</v>
      </c>
      <c r="E167" s="30">
        <v>5</v>
      </c>
    </row>
    <row r="168" spans="1:5" x14ac:dyDescent="0.25">
      <c r="A168" s="27" t="s">
        <v>283</v>
      </c>
      <c r="B168" s="28" t="s">
        <v>38</v>
      </c>
      <c r="C168" s="29">
        <v>45352</v>
      </c>
      <c r="D168" s="28" t="s">
        <v>608</v>
      </c>
      <c r="E168" s="30">
        <v>3</v>
      </c>
    </row>
    <row r="169" spans="1:5" x14ac:dyDescent="0.25">
      <c r="A169" s="27" t="s">
        <v>297</v>
      </c>
      <c r="B169" s="28" t="s">
        <v>49</v>
      </c>
      <c r="C169" s="29">
        <v>45597</v>
      </c>
      <c r="D169" s="28" t="s">
        <v>608</v>
      </c>
      <c r="E169" s="30">
        <v>5</v>
      </c>
    </row>
    <row r="170" spans="1:5" x14ac:dyDescent="0.25">
      <c r="A170" s="27" t="s">
        <v>299</v>
      </c>
      <c r="B170" s="28" t="s">
        <v>21</v>
      </c>
      <c r="C170" s="29">
        <v>45352</v>
      </c>
      <c r="D170" s="28" t="s">
        <v>608</v>
      </c>
      <c r="E170" s="30">
        <v>8</v>
      </c>
    </row>
    <row r="171" spans="1:5" x14ac:dyDescent="0.25">
      <c r="A171" s="27" t="s">
        <v>299</v>
      </c>
      <c r="B171" s="28" t="s">
        <v>21</v>
      </c>
      <c r="C171" s="29">
        <v>45383</v>
      </c>
      <c r="D171" s="28" t="s">
        <v>608</v>
      </c>
      <c r="E171" s="30">
        <v>2</v>
      </c>
    </row>
    <row r="172" spans="1:5" x14ac:dyDescent="0.25">
      <c r="A172" s="27" t="s">
        <v>302</v>
      </c>
      <c r="B172" s="28" t="s">
        <v>49</v>
      </c>
      <c r="C172" s="29">
        <v>45323</v>
      </c>
      <c r="D172" s="28" t="s">
        <v>608</v>
      </c>
      <c r="E172" s="30">
        <v>7</v>
      </c>
    </row>
    <row r="173" spans="1:5" x14ac:dyDescent="0.25">
      <c r="A173" s="27" t="s">
        <v>311</v>
      </c>
      <c r="B173" s="28" t="s">
        <v>49</v>
      </c>
      <c r="C173" s="29">
        <v>45627</v>
      </c>
      <c r="D173" s="28" t="s">
        <v>611</v>
      </c>
      <c r="E173" s="30">
        <v>5</v>
      </c>
    </row>
    <row r="174" spans="1:5" x14ac:dyDescent="0.25">
      <c r="A174" s="27" t="s">
        <v>317</v>
      </c>
      <c r="B174" s="28" t="s">
        <v>21</v>
      </c>
      <c r="C174" s="29">
        <v>45413</v>
      </c>
      <c r="D174" s="28" t="s">
        <v>611</v>
      </c>
      <c r="E174" s="30">
        <v>3</v>
      </c>
    </row>
    <row r="175" spans="1:5" x14ac:dyDescent="0.25">
      <c r="A175" s="27" t="s">
        <v>320</v>
      </c>
      <c r="B175" s="28" t="s">
        <v>38</v>
      </c>
      <c r="C175" s="29">
        <v>45383</v>
      </c>
      <c r="D175" s="28" t="s">
        <v>608</v>
      </c>
      <c r="E175" s="30">
        <v>9</v>
      </c>
    </row>
    <row r="176" spans="1:5" x14ac:dyDescent="0.25">
      <c r="A176" s="27" t="s">
        <v>322</v>
      </c>
      <c r="B176" s="28" t="s">
        <v>25</v>
      </c>
      <c r="C176" s="29">
        <v>45292</v>
      </c>
      <c r="D176" s="28" t="s">
        <v>612</v>
      </c>
      <c r="E176" s="30">
        <v>2</v>
      </c>
    </row>
    <row r="177" spans="1:5" x14ac:dyDescent="0.25">
      <c r="A177" s="27" t="s">
        <v>324</v>
      </c>
      <c r="B177" s="28" t="s">
        <v>21</v>
      </c>
      <c r="C177" s="29">
        <v>45536</v>
      </c>
      <c r="D177" s="28" t="s">
        <v>612</v>
      </c>
      <c r="E177" s="30">
        <v>2</v>
      </c>
    </row>
    <row r="178" spans="1:5" x14ac:dyDescent="0.25">
      <c r="A178" s="27" t="s">
        <v>324</v>
      </c>
      <c r="B178" s="28" t="s">
        <v>21</v>
      </c>
      <c r="C178" s="29">
        <v>45292</v>
      </c>
      <c r="D178" s="28" t="s">
        <v>608</v>
      </c>
      <c r="E178" s="30">
        <v>6</v>
      </c>
    </row>
    <row r="179" spans="1:5" x14ac:dyDescent="0.25">
      <c r="A179" s="27" t="s">
        <v>327</v>
      </c>
      <c r="B179" s="28" t="s">
        <v>21</v>
      </c>
      <c r="C179" s="29">
        <v>45536</v>
      </c>
      <c r="D179" s="28" t="s">
        <v>608</v>
      </c>
      <c r="E179" s="30">
        <v>10</v>
      </c>
    </row>
    <row r="180" spans="1:5" x14ac:dyDescent="0.25">
      <c r="A180" s="27" t="s">
        <v>327</v>
      </c>
      <c r="B180" s="28" t="s">
        <v>21</v>
      </c>
      <c r="C180" s="29">
        <v>45413</v>
      </c>
      <c r="D180" s="28" t="s">
        <v>608</v>
      </c>
      <c r="E180" s="30">
        <v>9</v>
      </c>
    </row>
    <row r="181" spans="1:5" x14ac:dyDescent="0.25">
      <c r="A181" s="27" t="s">
        <v>330</v>
      </c>
      <c r="B181" s="28" t="s">
        <v>25</v>
      </c>
      <c r="C181" s="29">
        <v>45566</v>
      </c>
      <c r="D181" s="28" t="s">
        <v>608</v>
      </c>
      <c r="E181" s="30">
        <v>1</v>
      </c>
    </row>
    <row r="182" spans="1:5" x14ac:dyDescent="0.25">
      <c r="A182" s="27" t="s">
        <v>330</v>
      </c>
      <c r="B182" s="28" t="s">
        <v>25</v>
      </c>
      <c r="C182" s="29">
        <v>45474</v>
      </c>
      <c r="D182" s="28" t="s">
        <v>608</v>
      </c>
      <c r="E182" s="30">
        <v>3</v>
      </c>
    </row>
    <row r="183" spans="1:5" x14ac:dyDescent="0.25">
      <c r="A183" s="27" t="s">
        <v>335</v>
      </c>
      <c r="B183" s="28" t="s">
        <v>38</v>
      </c>
      <c r="C183" s="29">
        <v>45383</v>
      </c>
      <c r="D183" s="28" t="s">
        <v>612</v>
      </c>
      <c r="E183" s="30">
        <v>1</v>
      </c>
    </row>
    <row r="184" spans="1:5" x14ac:dyDescent="0.25">
      <c r="A184" s="27" t="s">
        <v>337</v>
      </c>
      <c r="B184" s="28" t="s">
        <v>49</v>
      </c>
      <c r="C184" s="29">
        <v>45474</v>
      </c>
      <c r="D184" s="28" t="s">
        <v>608</v>
      </c>
      <c r="E184" s="30">
        <v>8</v>
      </c>
    </row>
    <row r="185" spans="1:5" x14ac:dyDescent="0.25">
      <c r="A185" s="27" t="s">
        <v>337</v>
      </c>
      <c r="B185" s="28" t="s">
        <v>49</v>
      </c>
      <c r="C185" s="29">
        <v>45505</v>
      </c>
      <c r="D185" s="28" t="s">
        <v>611</v>
      </c>
      <c r="E185" s="30">
        <v>5</v>
      </c>
    </row>
    <row r="186" spans="1:5" x14ac:dyDescent="0.25">
      <c r="A186" s="27" t="s">
        <v>338</v>
      </c>
      <c r="B186" s="28" t="s">
        <v>38</v>
      </c>
      <c r="C186" s="29">
        <v>45505</v>
      </c>
      <c r="D186" s="28" t="s">
        <v>612</v>
      </c>
      <c r="E186" s="30">
        <v>2</v>
      </c>
    </row>
    <row r="187" spans="1:5" x14ac:dyDescent="0.25">
      <c r="A187" s="27" t="s">
        <v>340</v>
      </c>
      <c r="B187" s="28" t="s">
        <v>38</v>
      </c>
      <c r="C187" s="29">
        <v>45505</v>
      </c>
      <c r="D187" s="28" t="s">
        <v>608</v>
      </c>
      <c r="E187" s="30">
        <v>5</v>
      </c>
    </row>
    <row r="188" spans="1:5" x14ac:dyDescent="0.25">
      <c r="A188" s="27" t="s">
        <v>343</v>
      </c>
      <c r="B188" s="28" t="s">
        <v>21</v>
      </c>
      <c r="C188" s="29">
        <v>45292</v>
      </c>
      <c r="D188" s="28" t="s">
        <v>612</v>
      </c>
      <c r="E188" s="30">
        <v>2</v>
      </c>
    </row>
    <row r="189" spans="1:5" x14ac:dyDescent="0.25">
      <c r="A189" s="27" t="s">
        <v>343</v>
      </c>
      <c r="B189" s="28" t="s">
        <v>21</v>
      </c>
      <c r="C189" s="29">
        <v>45413</v>
      </c>
      <c r="D189" s="28" t="s">
        <v>612</v>
      </c>
      <c r="E189" s="30">
        <v>2</v>
      </c>
    </row>
    <row r="190" spans="1:5" x14ac:dyDescent="0.25">
      <c r="A190" s="27" t="s">
        <v>343</v>
      </c>
      <c r="B190" s="28" t="s">
        <v>21</v>
      </c>
      <c r="C190" s="29">
        <v>45536</v>
      </c>
      <c r="D190" s="28" t="s">
        <v>608</v>
      </c>
      <c r="E190" s="30">
        <v>7</v>
      </c>
    </row>
    <row r="191" spans="1:5" x14ac:dyDescent="0.25">
      <c r="A191" s="27" t="s">
        <v>346</v>
      </c>
      <c r="B191" s="28" t="s">
        <v>15</v>
      </c>
      <c r="C191" s="29">
        <v>45413</v>
      </c>
      <c r="D191" s="28" t="s">
        <v>608</v>
      </c>
      <c r="E191" s="30">
        <v>9</v>
      </c>
    </row>
    <row r="192" spans="1:5" x14ac:dyDescent="0.25">
      <c r="A192" s="27" t="s">
        <v>346</v>
      </c>
      <c r="B192" s="28" t="s">
        <v>15</v>
      </c>
      <c r="C192" s="29">
        <v>45444</v>
      </c>
      <c r="D192" s="28" t="s">
        <v>608</v>
      </c>
      <c r="E192" s="30">
        <v>7</v>
      </c>
    </row>
    <row r="193" spans="1:5" x14ac:dyDescent="0.25">
      <c r="A193" s="27" t="s">
        <v>349</v>
      </c>
      <c r="B193" s="28" t="s">
        <v>21</v>
      </c>
      <c r="C193" s="29">
        <v>45292</v>
      </c>
      <c r="D193" s="28" t="s">
        <v>608</v>
      </c>
      <c r="E193" s="30">
        <v>8</v>
      </c>
    </row>
    <row r="194" spans="1:5" x14ac:dyDescent="0.25">
      <c r="A194" s="27" t="s">
        <v>354</v>
      </c>
      <c r="B194" s="28" t="s">
        <v>25</v>
      </c>
      <c r="C194" s="29">
        <v>45444</v>
      </c>
      <c r="D194" s="28" t="s">
        <v>612</v>
      </c>
      <c r="E194" s="30">
        <v>2</v>
      </c>
    </row>
    <row r="195" spans="1:5" x14ac:dyDescent="0.25">
      <c r="A195" s="27" t="s">
        <v>356</v>
      </c>
      <c r="B195" s="28" t="s">
        <v>34</v>
      </c>
      <c r="C195" s="29">
        <v>45627</v>
      </c>
      <c r="D195" s="28" t="s">
        <v>608</v>
      </c>
      <c r="E195" s="30">
        <v>2</v>
      </c>
    </row>
    <row r="196" spans="1:5" x14ac:dyDescent="0.25">
      <c r="A196" s="27" t="s">
        <v>359</v>
      </c>
      <c r="B196" s="28" t="s">
        <v>15</v>
      </c>
      <c r="C196" s="29">
        <v>45505</v>
      </c>
      <c r="D196" s="28" t="s">
        <v>608</v>
      </c>
      <c r="E196" s="30">
        <v>3</v>
      </c>
    </row>
    <row r="197" spans="1:5" x14ac:dyDescent="0.25">
      <c r="A197" s="27" t="s">
        <v>359</v>
      </c>
      <c r="B197" s="28" t="s">
        <v>15</v>
      </c>
      <c r="C197" s="29">
        <v>45352</v>
      </c>
      <c r="D197" s="28" t="s">
        <v>608</v>
      </c>
      <c r="E197" s="30">
        <v>8</v>
      </c>
    </row>
    <row r="198" spans="1:5" x14ac:dyDescent="0.25">
      <c r="A198" s="27" t="s">
        <v>359</v>
      </c>
      <c r="B198" s="28" t="s">
        <v>15</v>
      </c>
      <c r="C198" s="29">
        <v>45627</v>
      </c>
      <c r="D198" s="28" t="s">
        <v>608</v>
      </c>
      <c r="E198" s="30">
        <v>10</v>
      </c>
    </row>
    <row r="199" spans="1:5" x14ac:dyDescent="0.25">
      <c r="A199" s="27" t="s">
        <v>359</v>
      </c>
      <c r="B199" s="28" t="s">
        <v>15</v>
      </c>
      <c r="C199" s="29">
        <v>45292</v>
      </c>
      <c r="D199" s="28" t="s">
        <v>612</v>
      </c>
      <c r="E199" s="30">
        <v>1</v>
      </c>
    </row>
    <row r="200" spans="1:5" x14ac:dyDescent="0.25">
      <c r="A200" s="27" t="s">
        <v>364</v>
      </c>
      <c r="B200" s="28" t="s">
        <v>21</v>
      </c>
      <c r="C200" s="29">
        <v>45536</v>
      </c>
      <c r="D200" s="28" t="s">
        <v>608</v>
      </c>
      <c r="E200" s="30">
        <v>6</v>
      </c>
    </row>
    <row r="201" spans="1:5" x14ac:dyDescent="0.25">
      <c r="A201" s="27" t="s">
        <v>364</v>
      </c>
      <c r="B201" s="28" t="s">
        <v>21</v>
      </c>
      <c r="C201" s="29">
        <v>45352</v>
      </c>
      <c r="D201" s="28" t="s">
        <v>608</v>
      </c>
      <c r="E201" s="30">
        <v>1</v>
      </c>
    </row>
    <row r="202" spans="1:5" x14ac:dyDescent="0.25">
      <c r="A202" s="27" t="s">
        <v>364</v>
      </c>
      <c r="B202" s="28" t="s">
        <v>21</v>
      </c>
      <c r="C202" s="29">
        <v>45505</v>
      </c>
      <c r="D202" s="28" t="s">
        <v>612</v>
      </c>
      <c r="E202" s="30">
        <v>1</v>
      </c>
    </row>
    <row r="203" spans="1:5" x14ac:dyDescent="0.25">
      <c r="A203" s="27" t="s">
        <v>369</v>
      </c>
      <c r="B203" s="28" t="s">
        <v>15</v>
      </c>
      <c r="C203" s="29">
        <v>45383</v>
      </c>
      <c r="D203" s="28" t="s">
        <v>608</v>
      </c>
      <c r="E203" s="30">
        <v>1</v>
      </c>
    </row>
    <row r="204" spans="1:5" x14ac:dyDescent="0.25">
      <c r="A204" s="27" t="s">
        <v>371</v>
      </c>
      <c r="B204" s="28" t="s">
        <v>49</v>
      </c>
      <c r="C204" s="29">
        <v>45566</v>
      </c>
      <c r="D204" s="28" t="s">
        <v>608</v>
      </c>
      <c r="E204" s="30">
        <v>5</v>
      </c>
    </row>
    <row r="205" spans="1:5" x14ac:dyDescent="0.25">
      <c r="A205" s="27" t="s">
        <v>371</v>
      </c>
      <c r="B205" s="28" t="s">
        <v>49</v>
      </c>
      <c r="C205" s="29">
        <v>45444</v>
      </c>
      <c r="D205" s="28" t="s">
        <v>608</v>
      </c>
      <c r="E205" s="30">
        <v>6</v>
      </c>
    </row>
    <row r="206" spans="1:5" x14ac:dyDescent="0.25">
      <c r="A206" s="27" t="s">
        <v>373</v>
      </c>
      <c r="B206" s="28" t="s">
        <v>25</v>
      </c>
      <c r="C206" s="29">
        <v>45566</v>
      </c>
      <c r="D206" s="28" t="s">
        <v>608</v>
      </c>
      <c r="E206" s="30">
        <v>2</v>
      </c>
    </row>
    <row r="207" spans="1:5" x14ac:dyDescent="0.25">
      <c r="A207" s="27" t="s">
        <v>373</v>
      </c>
      <c r="B207" s="28" t="s">
        <v>25</v>
      </c>
      <c r="C207" s="29">
        <v>45474</v>
      </c>
      <c r="D207" s="28" t="s">
        <v>608</v>
      </c>
      <c r="E207" s="30">
        <v>3</v>
      </c>
    </row>
    <row r="208" spans="1:5" x14ac:dyDescent="0.25">
      <c r="A208" s="27" t="s">
        <v>380</v>
      </c>
      <c r="B208" s="28" t="s">
        <v>38</v>
      </c>
      <c r="C208" s="29">
        <v>45413</v>
      </c>
      <c r="D208" s="28" t="s">
        <v>608</v>
      </c>
      <c r="E208" s="30">
        <v>9</v>
      </c>
    </row>
    <row r="209" spans="1:5" x14ac:dyDescent="0.25">
      <c r="A209" s="27" t="s">
        <v>383</v>
      </c>
      <c r="B209" s="28" t="s">
        <v>15</v>
      </c>
      <c r="C209" s="29">
        <v>45323</v>
      </c>
      <c r="D209" s="28" t="s">
        <v>608</v>
      </c>
      <c r="E209" s="30">
        <v>9</v>
      </c>
    </row>
    <row r="210" spans="1:5" x14ac:dyDescent="0.25">
      <c r="A210" s="27" t="s">
        <v>385</v>
      </c>
      <c r="B210" s="28" t="s">
        <v>25</v>
      </c>
      <c r="C210" s="29">
        <v>45474</v>
      </c>
      <c r="D210" s="28" t="s">
        <v>608</v>
      </c>
      <c r="E210" s="30">
        <v>9</v>
      </c>
    </row>
    <row r="211" spans="1:5" x14ac:dyDescent="0.25">
      <c r="A211" s="27" t="s">
        <v>388</v>
      </c>
      <c r="B211" s="28" t="s">
        <v>49</v>
      </c>
      <c r="C211" s="29">
        <v>45292</v>
      </c>
      <c r="D211" s="28" t="s">
        <v>608</v>
      </c>
      <c r="E211" s="30">
        <v>1</v>
      </c>
    </row>
    <row r="212" spans="1:5" x14ac:dyDescent="0.25">
      <c r="A212" s="27" t="s">
        <v>391</v>
      </c>
      <c r="B212" s="28" t="s">
        <v>21</v>
      </c>
      <c r="C212" s="29">
        <v>45323</v>
      </c>
      <c r="D212" s="28" t="s">
        <v>608</v>
      </c>
      <c r="E212" s="30">
        <v>1</v>
      </c>
    </row>
    <row r="213" spans="1:5" x14ac:dyDescent="0.25">
      <c r="A213" s="27" t="s">
        <v>394</v>
      </c>
      <c r="B213" s="28" t="s">
        <v>38</v>
      </c>
      <c r="C213" s="29">
        <v>45536</v>
      </c>
      <c r="D213" s="28" t="s">
        <v>611</v>
      </c>
      <c r="E213" s="30">
        <v>5</v>
      </c>
    </row>
    <row r="214" spans="1:5" x14ac:dyDescent="0.25">
      <c r="A214" s="27" t="s">
        <v>394</v>
      </c>
      <c r="B214" s="28" t="s">
        <v>38</v>
      </c>
      <c r="C214" s="29">
        <v>45383</v>
      </c>
      <c r="D214" s="28" t="s">
        <v>608</v>
      </c>
      <c r="E214" s="30">
        <v>4</v>
      </c>
    </row>
    <row r="215" spans="1:5" x14ac:dyDescent="0.25">
      <c r="A215" s="27" t="s">
        <v>394</v>
      </c>
      <c r="B215" s="28" t="s">
        <v>38</v>
      </c>
      <c r="C215" s="29">
        <v>45627</v>
      </c>
      <c r="D215" s="28" t="s">
        <v>608</v>
      </c>
      <c r="E215" s="30">
        <v>6</v>
      </c>
    </row>
    <row r="216" spans="1:5" x14ac:dyDescent="0.25">
      <c r="A216" s="27" t="s">
        <v>394</v>
      </c>
      <c r="B216" s="28" t="s">
        <v>38</v>
      </c>
      <c r="C216" s="29">
        <v>45566</v>
      </c>
      <c r="D216" s="28" t="s">
        <v>608</v>
      </c>
      <c r="E216" s="30">
        <v>3</v>
      </c>
    </row>
    <row r="217" spans="1:5" x14ac:dyDescent="0.25">
      <c r="A217" s="27" t="s">
        <v>398</v>
      </c>
      <c r="B217" s="28" t="s">
        <v>49</v>
      </c>
      <c r="C217" s="29">
        <v>45292</v>
      </c>
      <c r="D217" s="28" t="s">
        <v>608</v>
      </c>
      <c r="E217" s="30">
        <v>8</v>
      </c>
    </row>
    <row r="218" spans="1:5" x14ac:dyDescent="0.25">
      <c r="A218" s="27" t="s">
        <v>398</v>
      </c>
      <c r="B218" s="28" t="s">
        <v>49</v>
      </c>
      <c r="C218" s="29">
        <v>45505</v>
      </c>
      <c r="D218" s="28" t="s">
        <v>610</v>
      </c>
      <c r="E218" s="30">
        <v>4</v>
      </c>
    </row>
    <row r="219" spans="1:5" x14ac:dyDescent="0.25">
      <c r="A219" s="27" t="s">
        <v>398</v>
      </c>
      <c r="B219" s="28" t="s">
        <v>49</v>
      </c>
      <c r="C219" s="29">
        <v>45413</v>
      </c>
      <c r="D219" s="28" t="s">
        <v>611</v>
      </c>
      <c r="E219" s="30">
        <v>1</v>
      </c>
    </row>
    <row r="220" spans="1:5" x14ac:dyDescent="0.25">
      <c r="A220" s="27" t="s">
        <v>400</v>
      </c>
      <c r="B220" s="28" t="s">
        <v>34</v>
      </c>
      <c r="C220" s="29">
        <v>45352</v>
      </c>
      <c r="D220" s="28" t="s">
        <v>612</v>
      </c>
      <c r="E220" s="30">
        <v>2</v>
      </c>
    </row>
    <row r="221" spans="1:5" x14ac:dyDescent="0.25">
      <c r="A221" s="27" t="s">
        <v>405</v>
      </c>
      <c r="B221" s="28" t="s">
        <v>15</v>
      </c>
      <c r="C221" s="29">
        <v>45536</v>
      </c>
      <c r="D221" s="28" t="s">
        <v>608</v>
      </c>
      <c r="E221" s="30">
        <v>7</v>
      </c>
    </row>
    <row r="222" spans="1:5" x14ac:dyDescent="0.25">
      <c r="A222" s="27" t="s">
        <v>407</v>
      </c>
      <c r="B222" s="28" t="s">
        <v>49</v>
      </c>
      <c r="C222" s="29">
        <v>45474</v>
      </c>
      <c r="D222" s="28" t="s">
        <v>612</v>
      </c>
      <c r="E222" s="30">
        <v>2</v>
      </c>
    </row>
    <row r="223" spans="1:5" x14ac:dyDescent="0.25">
      <c r="A223" s="27" t="s">
        <v>413</v>
      </c>
      <c r="B223" s="28" t="s">
        <v>21</v>
      </c>
      <c r="C223" s="29">
        <v>45505</v>
      </c>
      <c r="D223" s="28" t="s">
        <v>608</v>
      </c>
      <c r="E223" s="30">
        <v>9</v>
      </c>
    </row>
    <row r="224" spans="1:5" x14ac:dyDescent="0.25">
      <c r="A224" s="27" t="s">
        <v>416</v>
      </c>
      <c r="B224" s="28" t="s">
        <v>21</v>
      </c>
      <c r="C224" s="29">
        <v>45413</v>
      </c>
      <c r="D224" s="28" t="s">
        <v>608</v>
      </c>
      <c r="E224" s="30">
        <v>5</v>
      </c>
    </row>
    <row r="225" spans="1:5" x14ac:dyDescent="0.25">
      <c r="A225" s="27" t="s">
        <v>418</v>
      </c>
      <c r="B225" s="28" t="s">
        <v>15</v>
      </c>
      <c r="C225" s="29">
        <v>45627</v>
      </c>
      <c r="D225" s="28" t="s">
        <v>611</v>
      </c>
      <c r="E225" s="30">
        <v>5</v>
      </c>
    </row>
    <row r="226" spans="1:5" x14ac:dyDescent="0.25">
      <c r="A226" s="27" t="s">
        <v>418</v>
      </c>
      <c r="B226" s="28" t="s">
        <v>15</v>
      </c>
      <c r="C226" s="29">
        <v>45597</v>
      </c>
      <c r="D226" s="28" t="s">
        <v>612</v>
      </c>
      <c r="E226" s="30">
        <v>1</v>
      </c>
    </row>
    <row r="227" spans="1:5" x14ac:dyDescent="0.25">
      <c r="A227" s="27" t="s">
        <v>419</v>
      </c>
      <c r="B227" s="28" t="s">
        <v>49</v>
      </c>
      <c r="C227" s="29">
        <v>45292</v>
      </c>
      <c r="D227" s="28" t="s">
        <v>611</v>
      </c>
      <c r="E227" s="30">
        <v>1</v>
      </c>
    </row>
    <row r="228" spans="1:5" x14ac:dyDescent="0.25">
      <c r="A228" s="27" t="s">
        <v>423</v>
      </c>
      <c r="B228" s="28" t="s">
        <v>49</v>
      </c>
      <c r="C228" s="29">
        <v>45444</v>
      </c>
      <c r="D228" s="28" t="s">
        <v>608</v>
      </c>
      <c r="E228" s="30">
        <v>2</v>
      </c>
    </row>
    <row r="229" spans="1:5" x14ac:dyDescent="0.25">
      <c r="A229" s="27" t="s">
        <v>423</v>
      </c>
      <c r="B229" s="28" t="s">
        <v>49</v>
      </c>
      <c r="C229" s="29">
        <v>45566</v>
      </c>
      <c r="D229" s="28" t="s">
        <v>612</v>
      </c>
      <c r="E229" s="30">
        <v>2</v>
      </c>
    </row>
    <row r="230" spans="1:5" x14ac:dyDescent="0.25">
      <c r="A230" s="27" t="s">
        <v>423</v>
      </c>
      <c r="B230" s="28" t="s">
        <v>49</v>
      </c>
      <c r="C230" s="29">
        <v>45323</v>
      </c>
      <c r="D230" s="28" t="s">
        <v>608</v>
      </c>
      <c r="E230" s="30">
        <v>7</v>
      </c>
    </row>
    <row r="231" spans="1:5" x14ac:dyDescent="0.25">
      <c r="A231" s="27" t="s">
        <v>424</v>
      </c>
      <c r="B231" s="28" t="s">
        <v>21</v>
      </c>
      <c r="C231" s="29">
        <v>45474</v>
      </c>
      <c r="D231" s="28" t="s">
        <v>608</v>
      </c>
      <c r="E231" s="30">
        <v>9</v>
      </c>
    </row>
    <row r="232" spans="1:5" x14ac:dyDescent="0.25">
      <c r="A232" s="27" t="s">
        <v>424</v>
      </c>
      <c r="B232" s="28" t="s">
        <v>21</v>
      </c>
      <c r="C232" s="29">
        <v>45292</v>
      </c>
      <c r="D232" s="28" t="s">
        <v>611</v>
      </c>
      <c r="E232" s="30">
        <v>5</v>
      </c>
    </row>
    <row r="233" spans="1:5" x14ac:dyDescent="0.25">
      <c r="A233" s="27" t="s">
        <v>424</v>
      </c>
      <c r="B233" s="28" t="s">
        <v>21</v>
      </c>
      <c r="C233" s="29">
        <v>45597</v>
      </c>
      <c r="D233" s="28" t="s">
        <v>610</v>
      </c>
      <c r="E233" s="30">
        <v>4</v>
      </c>
    </row>
    <row r="234" spans="1:5" x14ac:dyDescent="0.25">
      <c r="A234" s="27" t="s">
        <v>426</v>
      </c>
      <c r="B234" s="28" t="s">
        <v>15</v>
      </c>
      <c r="C234" s="29">
        <v>45566</v>
      </c>
      <c r="D234" s="28" t="s">
        <v>608</v>
      </c>
      <c r="E234" s="30">
        <v>9</v>
      </c>
    </row>
    <row r="235" spans="1:5" x14ac:dyDescent="0.25">
      <c r="A235" s="27" t="s">
        <v>428</v>
      </c>
      <c r="B235" s="28" t="s">
        <v>49</v>
      </c>
      <c r="C235" s="29">
        <v>45444</v>
      </c>
      <c r="D235" s="28" t="s">
        <v>608</v>
      </c>
      <c r="E235" s="30">
        <v>2</v>
      </c>
    </row>
    <row r="236" spans="1:5" x14ac:dyDescent="0.25">
      <c r="A236" s="27" t="s">
        <v>428</v>
      </c>
      <c r="B236" s="28" t="s">
        <v>49</v>
      </c>
      <c r="C236" s="29">
        <v>45597</v>
      </c>
      <c r="D236" s="28" t="s">
        <v>611</v>
      </c>
      <c r="E236" s="30">
        <v>1</v>
      </c>
    </row>
    <row r="237" spans="1:5" x14ac:dyDescent="0.25">
      <c r="A237" s="27" t="s">
        <v>428</v>
      </c>
      <c r="B237" s="28" t="s">
        <v>49</v>
      </c>
      <c r="C237" s="29">
        <v>45413</v>
      </c>
      <c r="D237" s="28" t="s">
        <v>608</v>
      </c>
      <c r="E237" s="30">
        <v>7</v>
      </c>
    </row>
    <row r="238" spans="1:5" x14ac:dyDescent="0.25">
      <c r="A238" s="27" t="s">
        <v>430</v>
      </c>
      <c r="B238" s="28" t="s">
        <v>38</v>
      </c>
      <c r="C238" s="29">
        <v>45413</v>
      </c>
      <c r="D238" s="28" t="s">
        <v>612</v>
      </c>
      <c r="E238" s="30">
        <v>2</v>
      </c>
    </row>
    <row r="239" spans="1:5" x14ac:dyDescent="0.25">
      <c r="A239" s="27" t="s">
        <v>430</v>
      </c>
      <c r="B239" s="28" t="s">
        <v>38</v>
      </c>
      <c r="C239" s="29">
        <v>45597</v>
      </c>
      <c r="D239" s="28" t="s">
        <v>612</v>
      </c>
      <c r="E239" s="30">
        <v>2</v>
      </c>
    </row>
    <row r="240" spans="1:5" x14ac:dyDescent="0.25">
      <c r="A240" s="27" t="s">
        <v>435</v>
      </c>
      <c r="B240" s="28" t="s">
        <v>25</v>
      </c>
      <c r="C240" s="29">
        <v>45292</v>
      </c>
      <c r="D240" s="28" t="s">
        <v>608</v>
      </c>
      <c r="E240" s="30">
        <v>4</v>
      </c>
    </row>
    <row r="241" spans="1:5" x14ac:dyDescent="0.25">
      <c r="A241" s="27" t="s">
        <v>435</v>
      </c>
      <c r="B241" s="28" t="s">
        <v>25</v>
      </c>
      <c r="C241" s="29">
        <v>45292</v>
      </c>
      <c r="D241" s="28" t="s">
        <v>611</v>
      </c>
      <c r="E241" s="30">
        <v>3</v>
      </c>
    </row>
    <row r="242" spans="1:5" x14ac:dyDescent="0.25">
      <c r="A242" s="27" t="s">
        <v>435</v>
      </c>
      <c r="B242" s="28" t="s">
        <v>25</v>
      </c>
      <c r="C242" s="29">
        <v>45474</v>
      </c>
      <c r="D242" s="28" t="s">
        <v>608</v>
      </c>
      <c r="E242" s="30">
        <v>6</v>
      </c>
    </row>
    <row r="243" spans="1:5" x14ac:dyDescent="0.25">
      <c r="A243" s="27" t="s">
        <v>436</v>
      </c>
      <c r="B243" s="28" t="s">
        <v>25</v>
      </c>
      <c r="C243" s="29">
        <v>45383</v>
      </c>
      <c r="D243" s="28" t="s">
        <v>608</v>
      </c>
      <c r="E243" s="30">
        <v>2</v>
      </c>
    </row>
    <row r="244" spans="1:5" x14ac:dyDescent="0.25">
      <c r="A244" s="27" t="s">
        <v>443</v>
      </c>
      <c r="B244" s="28" t="s">
        <v>25</v>
      </c>
      <c r="C244" s="29">
        <v>45444</v>
      </c>
      <c r="D244" s="28" t="s">
        <v>608</v>
      </c>
      <c r="E244" s="30">
        <v>4</v>
      </c>
    </row>
    <row r="245" spans="1:5" x14ac:dyDescent="0.25">
      <c r="A245" s="27" t="s">
        <v>443</v>
      </c>
      <c r="B245" s="28" t="s">
        <v>25</v>
      </c>
      <c r="C245" s="29">
        <v>45352</v>
      </c>
      <c r="D245" s="28" t="s">
        <v>608</v>
      </c>
      <c r="E245" s="30">
        <v>4</v>
      </c>
    </row>
    <row r="246" spans="1:5" x14ac:dyDescent="0.25">
      <c r="A246" s="27" t="s">
        <v>443</v>
      </c>
      <c r="B246" s="28" t="s">
        <v>25</v>
      </c>
      <c r="C246" s="29">
        <v>45505</v>
      </c>
      <c r="D246" s="28" t="s">
        <v>608</v>
      </c>
      <c r="E246" s="30">
        <v>4</v>
      </c>
    </row>
    <row r="247" spans="1:5" x14ac:dyDescent="0.25">
      <c r="A247" s="27" t="s">
        <v>446</v>
      </c>
      <c r="B247" s="28" t="s">
        <v>21</v>
      </c>
      <c r="C247" s="29">
        <v>45383</v>
      </c>
      <c r="D247" s="28" t="s">
        <v>612</v>
      </c>
      <c r="E247" s="30">
        <v>2</v>
      </c>
    </row>
    <row r="248" spans="1:5" x14ac:dyDescent="0.25">
      <c r="A248" s="27" t="s">
        <v>446</v>
      </c>
      <c r="B248" s="28" t="s">
        <v>21</v>
      </c>
      <c r="C248" s="29">
        <v>45566</v>
      </c>
      <c r="D248" s="28" t="s">
        <v>608</v>
      </c>
      <c r="E248" s="30">
        <v>9</v>
      </c>
    </row>
    <row r="249" spans="1:5" x14ac:dyDescent="0.25">
      <c r="A249" s="27" t="s">
        <v>446</v>
      </c>
      <c r="B249" s="28" t="s">
        <v>21</v>
      </c>
      <c r="C249" s="29">
        <v>45566</v>
      </c>
      <c r="D249" s="28" t="s">
        <v>608</v>
      </c>
      <c r="E249" s="30">
        <v>10</v>
      </c>
    </row>
    <row r="250" spans="1:5" x14ac:dyDescent="0.25">
      <c r="A250" s="27" t="s">
        <v>447</v>
      </c>
      <c r="B250" s="28" t="s">
        <v>15</v>
      </c>
      <c r="C250" s="29">
        <v>45383</v>
      </c>
      <c r="D250" s="28" t="s">
        <v>609</v>
      </c>
      <c r="E250" s="30">
        <v>3</v>
      </c>
    </row>
    <row r="251" spans="1:5" x14ac:dyDescent="0.25">
      <c r="A251" s="27" t="s">
        <v>448</v>
      </c>
      <c r="B251" s="28" t="s">
        <v>21</v>
      </c>
      <c r="C251" s="29">
        <v>45536</v>
      </c>
      <c r="D251" s="28" t="s">
        <v>611</v>
      </c>
      <c r="E251" s="30">
        <v>1</v>
      </c>
    </row>
    <row r="252" spans="1:5" x14ac:dyDescent="0.25">
      <c r="A252" s="27" t="s">
        <v>448</v>
      </c>
      <c r="B252" s="28" t="s">
        <v>21</v>
      </c>
      <c r="C252" s="29">
        <v>45566</v>
      </c>
      <c r="D252" s="28" t="s">
        <v>608</v>
      </c>
      <c r="E252" s="30">
        <v>5</v>
      </c>
    </row>
    <row r="253" spans="1:5" x14ac:dyDescent="0.25">
      <c r="A253" s="27" t="s">
        <v>451</v>
      </c>
      <c r="B253" s="28" t="s">
        <v>21</v>
      </c>
      <c r="C253" s="29">
        <v>45566</v>
      </c>
      <c r="D253" s="28" t="s">
        <v>611</v>
      </c>
      <c r="E253" s="30">
        <v>4</v>
      </c>
    </row>
    <row r="254" spans="1:5" x14ac:dyDescent="0.25">
      <c r="A254" s="27" t="s">
        <v>453</v>
      </c>
      <c r="B254" s="28" t="s">
        <v>25</v>
      </c>
      <c r="C254" s="29">
        <v>45292</v>
      </c>
      <c r="D254" s="28" t="s">
        <v>608</v>
      </c>
      <c r="E254" s="30">
        <v>10</v>
      </c>
    </row>
    <row r="255" spans="1:5" x14ac:dyDescent="0.25">
      <c r="A255" s="27" t="s">
        <v>454</v>
      </c>
      <c r="B255" s="28" t="s">
        <v>38</v>
      </c>
      <c r="C255" s="29">
        <v>45627</v>
      </c>
      <c r="D255" s="28" t="s">
        <v>608</v>
      </c>
      <c r="E255" s="30">
        <v>9</v>
      </c>
    </row>
    <row r="256" spans="1:5" x14ac:dyDescent="0.25">
      <c r="A256" s="27" t="s">
        <v>454</v>
      </c>
      <c r="B256" s="28" t="s">
        <v>38</v>
      </c>
      <c r="C256" s="29">
        <v>45505</v>
      </c>
      <c r="D256" s="28" t="s">
        <v>612</v>
      </c>
      <c r="E256" s="30">
        <v>2</v>
      </c>
    </row>
    <row r="257" spans="1:5" x14ac:dyDescent="0.25">
      <c r="A257" s="27" t="s">
        <v>455</v>
      </c>
      <c r="B257" s="28" t="s">
        <v>38</v>
      </c>
      <c r="C257" s="29">
        <v>45352</v>
      </c>
      <c r="D257" s="28" t="s">
        <v>612</v>
      </c>
      <c r="E257" s="30">
        <v>1</v>
      </c>
    </row>
    <row r="258" spans="1:5" x14ac:dyDescent="0.25">
      <c r="A258" s="27" t="s">
        <v>455</v>
      </c>
      <c r="B258" s="28" t="s">
        <v>38</v>
      </c>
      <c r="C258" s="29">
        <v>45566</v>
      </c>
      <c r="D258" s="28" t="s">
        <v>608</v>
      </c>
      <c r="E258" s="30">
        <v>2</v>
      </c>
    </row>
    <row r="259" spans="1:5" x14ac:dyDescent="0.25">
      <c r="A259" s="27" t="s">
        <v>459</v>
      </c>
      <c r="B259" s="28" t="s">
        <v>49</v>
      </c>
      <c r="C259" s="29">
        <v>45413</v>
      </c>
      <c r="D259" s="28" t="s">
        <v>612</v>
      </c>
      <c r="E259" s="30">
        <v>2</v>
      </c>
    </row>
    <row r="260" spans="1:5" x14ac:dyDescent="0.25">
      <c r="A260" s="27" t="s">
        <v>459</v>
      </c>
      <c r="B260" s="28" t="s">
        <v>49</v>
      </c>
      <c r="C260" s="29">
        <v>45444</v>
      </c>
      <c r="D260" s="28" t="s">
        <v>611</v>
      </c>
      <c r="E260" s="30">
        <v>4</v>
      </c>
    </row>
    <row r="261" spans="1:5" x14ac:dyDescent="0.25">
      <c r="A261" s="27" t="s">
        <v>459</v>
      </c>
      <c r="B261" s="28" t="s">
        <v>49</v>
      </c>
      <c r="C261" s="29">
        <v>45413</v>
      </c>
      <c r="D261" s="28" t="s">
        <v>608</v>
      </c>
      <c r="E261" s="30">
        <v>6</v>
      </c>
    </row>
    <row r="262" spans="1:5" x14ac:dyDescent="0.25">
      <c r="A262" s="27" t="s">
        <v>459</v>
      </c>
      <c r="B262" s="28" t="s">
        <v>49</v>
      </c>
      <c r="C262" s="29">
        <v>45597</v>
      </c>
      <c r="D262" s="28" t="s">
        <v>611</v>
      </c>
      <c r="E262" s="30">
        <v>3</v>
      </c>
    </row>
    <row r="263" spans="1:5" x14ac:dyDescent="0.25">
      <c r="A263" s="27" t="s">
        <v>463</v>
      </c>
      <c r="B263" s="28" t="s">
        <v>34</v>
      </c>
      <c r="C263" s="29">
        <v>45627</v>
      </c>
      <c r="D263" s="28" t="s">
        <v>608</v>
      </c>
      <c r="E263" s="30">
        <v>6</v>
      </c>
    </row>
    <row r="264" spans="1:5" x14ac:dyDescent="0.25">
      <c r="A264" s="27" t="s">
        <v>465</v>
      </c>
      <c r="B264" s="28" t="s">
        <v>15</v>
      </c>
      <c r="C264" s="29">
        <v>45597</v>
      </c>
      <c r="D264" s="28" t="s">
        <v>608</v>
      </c>
      <c r="E264" s="30">
        <v>10</v>
      </c>
    </row>
    <row r="265" spans="1:5" x14ac:dyDescent="0.25">
      <c r="A265" s="27" t="s">
        <v>467</v>
      </c>
      <c r="B265" s="28" t="s">
        <v>21</v>
      </c>
      <c r="C265" s="29">
        <v>45352</v>
      </c>
      <c r="D265" s="28" t="s">
        <v>611</v>
      </c>
      <c r="E265" s="30">
        <v>1</v>
      </c>
    </row>
    <row r="266" spans="1:5" x14ac:dyDescent="0.25">
      <c r="A266" s="27" t="s">
        <v>467</v>
      </c>
      <c r="B266" s="28" t="s">
        <v>21</v>
      </c>
      <c r="C266" s="29">
        <v>45505</v>
      </c>
      <c r="D266" s="28" t="s">
        <v>608</v>
      </c>
      <c r="E266" s="30">
        <v>2</v>
      </c>
    </row>
    <row r="267" spans="1:5" x14ac:dyDescent="0.25">
      <c r="A267" s="27" t="s">
        <v>467</v>
      </c>
      <c r="B267" s="28" t="s">
        <v>21</v>
      </c>
      <c r="C267" s="29">
        <v>45474</v>
      </c>
      <c r="D267" s="28" t="s">
        <v>608</v>
      </c>
      <c r="E267" s="30">
        <v>9</v>
      </c>
    </row>
    <row r="268" spans="1:5" x14ac:dyDescent="0.25">
      <c r="A268" s="27" t="s">
        <v>468</v>
      </c>
      <c r="B268" s="28" t="s">
        <v>34</v>
      </c>
      <c r="C268" s="29">
        <v>45352</v>
      </c>
      <c r="D268" s="28" t="s">
        <v>608</v>
      </c>
      <c r="E268" s="30">
        <v>4</v>
      </c>
    </row>
    <row r="269" spans="1:5" x14ac:dyDescent="0.25">
      <c r="A269" s="27" t="s">
        <v>470</v>
      </c>
      <c r="B269" s="28" t="s">
        <v>38</v>
      </c>
      <c r="C269" s="29">
        <v>45352</v>
      </c>
      <c r="D269" s="28" t="s">
        <v>611</v>
      </c>
      <c r="E269" s="30">
        <v>1</v>
      </c>
    </row>
    <row r="270" spans="1:5" x14ac:dyDescent="0.25">
      <c r="A270" s="27" t="s">
        <v>471</v>
      </c>
      <c r="B270" s="28" t="s">
        <v>49</v>
      </c>
      <c r="C270" s="29">
        <v>45413</v>
      </c>
      <c r="D270" s="28" t="s">
        <v>608</v>
      </c>
      <c r="E270" s="30">
        <v>7</v>
      </c>
    </row>
    <row r="271" spans="1:5" x14ac:dyDescent="0.25">
      <c r="A271" s="27" t="s">
        <v>471</v>
      </c>
      <c r="B271" s="28" t="s">
        <v>49</v>
      </c>
      <c r="C271" s="29">
        <v>45383</v>
      </c>
      <c r="D271" s="28" t="s">
        <v>608</v>
      </c>
      <c r="E271" s="30">
        <v>4</v>
      </c>
    </row>
    <row r="272" spans="1:5" x14ac:dyDescent="0.25">
      <c r="A272" s="27" t="s">
        <v>473</v>
      </c>
      <c r="B272" s="28" t="s">
        <v>34</v>
      </c>
      <c r="C272" s="29">
        <v>45383</v>
      </c>
      <c r="D272" s="28" t="s">
        <v>611</v>
      </c>
      <c r="E272" s="30">
        <v>5</v>
      </c>
    </row>
    <row r="273" spans="1:5" x14ac:dyDescent="0.25">
      <c r="A273" s="27" t="s">
        <v>474</v>
      </c>
      <c r="B273" s="28" t="s">
        <v>15</v>
      </c>
      <c r="C273" s="29">
        <v>45474</v>
      </c>
      <c r="D273" s="28" t="s">
        <v>608</v>
      </c>
      <c r="E273" s="30">
        <v>5</v>
      </c>
    </row>
    <row r="274" spans="1:5" x14ac:dyDescent="0.25">
      <c r="A274" s="27" t="s">
        <v>474</v>
      </c>
      <c r="B274" s="28" t="s">
        <v>15</v>
      </c>
      <c r="C274" s="29">
        <v>45627</v>
      </c>
      <c r="D274" s="28" t="s">
        <v>611</v>
      </c>
      <c r="E274" s="30">
        <v>4</v>
      </c>
    </row>
    <row r="275" spans="1:5" x14ac:dyDescent="0.25">
      <c r="A275" s="27" t="s">
        <v>474</v>
      </c>
      <c r="B275" s="28" t="s">
        <v>15</v>
      </c>
      <c r="C275" s="29">
        <v>45352</v>
      </c>
      <c r="D275" s="28" t="s">
        <v>608</v>
      </c>
      <c r="E275" s="30">
        <v>4</v>
      </c>
    </row>
    <row r="276" spans="1:5" x14ac:dyDescent="0.25">
      <c r="A276" s="27" t="s">
        <v>475</v>
      </c>
      <c r="B276" s="28" t="s">
        <v>25</v>
      </c>
      <c r="C276" s="29">
        <v>45474</v>
      </c>
      <c r="D276" s="28" t="s">
        <v>611</v>
      </c>
      <c r="E276" s="30">
        <v>3</v>
      </c>
    </row>
    <row r="277" spans="1:5" x14ac:dyDescent="0.25">
      <c r="A277" s="27" t="s">
        <v>478</v>
      </c>
      <c r="B277" s="28" t="s">
        <v>38</v>
      </c>
      <c r="C277" s="29">
        <v>45566</v>
      </c>
      <c r="D277" s="28" t="s">
        <v>611</v>
      </c>
      <c r="E277" s="30">
        <v>2</v>
      </c>
    </row>
    <row r="278" spans="1:5" x14ac:dyDescent="0.25">
      <c r="A278" s="27" t="s">
        <v>478</v>
      </c>
      <c r="B278" s="28" t="s">
        <v>38</v>
      </c>
      <c r="C278" s="29">
        <v>45566</v>
      </c>
      <c r="D278" s="28" t="s">
        <v>608</v>
      </c>
      <c r="E278" s="30">
        <v>4</v>
      </c>
    </row>
    <row r="279" spans="1:5" x14ac:dyDescent="0.25">
      <c r="A279" s="27" t="s">
        <v>481</v>
      </c>
      <c r="B279" s="28" t="s">
        <v>38</v>
      </c>
      <c r="C279" s="29">
        <v>45536</v>
      </c>
      <c r="D279" s="28" t="s">
        <v>612</v>
      </c>
      <c r="E279" s="30">
        <v>2</v>
      </c>
    </row>
    <row r="280" spans="1:5" x14ac:dyDescent="0.25">
      <c r="A280" s="27" t="s">
        <v>481</v>
      </c>
      <c r="B280" s="28" t="s">
        <v>38</v>
      </c>
      <c r="C280" s="29">
        <v>45292</v>
      </c>
      <c r="D280" s="28" t="s">
        <v>608</v>
      </c>
      <c r="E280" s="30">
        <v>9</v>
      </c>
    </row>
    <row r="281" spans="1:5" x14ac:dyDescent="0.25">
      <c r="A281" s="27" t="s">
        <v>482</v>
      </c>
      <c r="B281" s="28" t="s">
        <v>21</v>
      </c>
      <c r="C281" s="29">
        <v>45536</v>
      </c>
      <c r="D281" s="28" t="s">
        <v>611</v>
      </c>
      <c r="E281" s="30">
        <v>4</v>
      </c>
    </row>
    <row r="282" spans="1:5" x14ac:dyDescent="0.25">
      <c r="A282" s="27" t="s">
        <v>482</v>
      </c>
      <c r="B282" s="28" t="s">
        <v>21</v>
      </c>
      <c r="C282" s="29">
        <v>45597</v>
      </c>
      <c r="D282" s="28" t="s">
        <v>610</v>
      </c>
      <c r="E282" s="30">
        <v>9</v>
      </c>
    </row>
    <row r="283" spans="1:5" x14ac:dyDescent="0.25">
      <c r="A283" s="27" t="s">
        <v>486</v>
      </c>
      <c r="B283" s="28" t="s">
        <v>49</v>
      </c>
      <c r="C283" s="29">
        <v>45323</v>
      </c>
      <c r="D283" s="28" t="s">
        <v>612</v>
      </c>
      <c r="E283" s="30">
        <v>2</v>
      </c>
    </row>
    <row r="284" spans="1:5" x14ac:dyDescent="0.25">
      <c r="A284" s="27" t="s">
        <v>486</v>
      </c>
      <c r="B284" s="28" t="s">
        <v>49</v>
      </c>
      <c r="C284" s="29">
        <v>45566</v>
      </c>
      <c r="D284" s="28" t="s">
        <v>612</v>
      </c>
      <c r="E284" s="30">
        <v>2</v>
      </c>
    </row>
    <row r="285" spans="1:5" x14ac:dyDescent="0.25">
      <c r="A285" s="27" t="s">
        <v>486</v>
      </c>
      <c r="B285" s="28" t="s">
        <v>49</v>
      </c>
      <c r="C285" s="29">
        <v>45292</v>
      </c>
      <c r="D285" s="28" t="s">
        <v>611</v>
      </c>
      <c r="E285" s="30">
        <v>2</v>
      </c>
    </row>
    <row r="286" spans="1:5" x14ac:dyDescent="0.25">
      <c r="A286" s="27" t="s">
        <v>486</v>
      </c>
      <c r="B286" s="28" t="s">
        <v>49</v>
      </c>
      <c r="C286" s="29">
        <v>45444</v>
      </c>
      <c r="D286" s="28" t="s">
        <v>611</v>
      </c>
      <c r="E286" s="30">
        <v>3</v>
      </c>
    </row>
    <row r="287" spans="1:5" x14ac:dyDescent="0.25">
      <c r="A287" s="27" t="s">
        <v>486</v>
      </c>
      <c r="B287" s="28" t="s">
        <v>49</v>
      </c>
      <c r="C287" s="29">
        <v>45383</v>
      </c>
      <c r="D287" s="28" t="s">
        <v>611</v>
      </c>
      <c r="E287" s="30">
        <v>3</v>
      </c>
    </row>
    <row r="288" spans="1:5" x14ac:dyDescent="0.25">
      <c r="A288" s="27" t="s">
        <v>489</v>
      </c>
      <c r="B288" s="28" t="s">
        <v>15</v>
      </c>
      <c r="C288" s="29">
        <v>45566</v>
      </c>
      <c r="D288" s="28" t="s">
        <v>611</v>
      </c>
      <c r="E288" s="30">
        <v>1</v>
      </c>
    </row>
    <row r="289" spans="1:5" x14ac:dyDescent="0.25">
      <c r="A289" s="27" t="s">
        <v>489</v>
      </c>
      <c r="B289" s="28" t="s">
        <v>15</v>
      </c>
      <c r="C289" s="29">
        <v>45292</v>
      </c>
      <c r="D289" s="28" t="s">
        <v>608</v>
      </c>
      <c r="E289" s="30">
        <v>6</v>
      </c>
    </row>
    <row r="290" spans="1:5" x14ac:dyDescent="0.25">
      <c r="A290" s="27" t="s">
        <v>491</v>
      </c>
      <c r="B290" s="28" t="s">
        <v>25</v>
      </c>
      <c r="C290" s="29">
        <v>45444</v>
      </c>
      <c r="D290" s="28" t="s">
        <v>608</v>
      </c>
      <c r="E290" s="30">
        <v>5</v>
      </c>
    </row>
    <row r="291" spans="1:5" x14ac:dyDescent="0.25">
      <c r="A291" s="27" t="s">
        <v>491</v>
      </c>
      <c r="B291" s="28" t="s">
        <v>25</v>
      </c>
      <c r="C291" s="29">
        <v>45383</v>
      </c>
      <c r="D291" s="28" t="s">
        <v>608</v>
      </c>
      <c r="E291" s="30">
        <v>4</v>
      </c>
    </row>
    <row r="292" spans="1:5" x14ac:dyDescent="0.25">
      <c r="A292" s="27" t="s">
        <v>491</v>
      </c>
      <c r="B292" s="28" t="s">
        <v>25</v>
      </c>
      <c r="C292" s="29">
        <v>45627</v>
      </c>
      <c r="D292" s="28" t="s">
        <v>610</v>
      </c>
      <c r="E292" s="30">
        <v>2</v>
      </c>
    </row>
    <row r="293" spans="1:5" x14ac:dyDescent="0.25">
      <c r="A293" s="27" t="s">
        <v>491</v>
      </c>
      <c r="B293" s="28" t="s">
        <v>25</v>
      </c>
      <c r="C293" s="29">
        <v>45413</v>
      </c>
      <c r="D293" s="28" t="s">
        <v>608</v>
      </c>
      <c r="E293" s="30">
        <v>8</v>
      </c>
    </row>
    <row r="294" spans="1:5" x14ac:dyDescent="0.25">
      <c r="A294" s="27" t="s">
        <v>494</v>
      </c>
      <c r="B294" s="28" t="s">
        <v>38</v>
      </c>
      <c r="C294" s="29">
        <v>45566</v>
      </c>
      <c r="D294" s="28" t="s">
        <v>608</v>
      </c>
      <c r="E294" s="30">
        <v>4</v>
      </c>
    </row>
    <row r="295" spans="1:5" x14ac:dyDescent="0.25">
      <c r="A295" s="27" t="s">
        <v>494</v>
      </c>
      <c r="B295" s="28" t="s">
        <v>38</v>
      </c>
      <c r="C295" s="29">
        <v>45474</v>
      </c>
      <c r="D295" s="28" t="s">
        <v>611</v>
      </c>
      <c r="E295" s="30">
        <v>4</v>
      </c>
    </row>
    <row r="296" spans="1:5" x14ac:dyDescent="0.25">
      <c r="A296" s="27" t="s">
        <v>497</v>
      </c>
      <c r="B296" s="28" t="s">
        <v>21</v>
      </c>
      <c r="C296" s="29">
        <v>45413</v>
      </c>
      <c r="D296" s="28" t="s">
        <v>611</v>
      </c>
      <c r="E296" s="30">
        <v>3</v>
      </c>
    </row>
    <row r="297" spans="1:5" x14ac:dyDescent="0.25">
      <c r="A297" s="27" t="s">
        <v>497</v>
      </c>
      <c r="B297" s="28" t="s">
        <v>21</v>
      </c>
      <c r="C297" s="29">
        <v>45413</v>
      </c>
      <c r="D297" s="28" t="s">
        <v>612</v>
      </c>
      <c r="E297" s="30">
        <v>2</v>
      </c>
    </row>
    <row r="298" spans="1:5" x14ac:dyDescent="0.25">
      <c r="A298" s="27" t="s">
        <v>497</v>
      </c>
      <c r="B298" s="28" t="s">
        <v>21</v>
      </c>
      <c r="C298" s="29">
        <v>45597</v>
      </c>
      <c r="D298" s="28" t="s">
        <v>608</v>
      </c>
      <c r="E298" s="30">
        <v>3</v>
      </c>
    </row>
    <row r="299" spans="1:5" x14ac:dyDescent="0.25">
      <c r="A299" s="27" t="s">
        <v>497</v>
      </c>
      <c r="B299" s="28" t="s">
        <v>21</v>
      </c>
      <c r="C299" s="29">
        <v>45383</v>
      </c>
      <c r="D299" s="28" t="s">
        <v>608</v>
      </c>
      <c r="E299" s="30">
        <v>6</v>
      </c>
    </row>
    <row r="300" spans="1:5" x14ac:dyDescent="0.25">
      <c r="A300" s="27" t="s">
        <v>502</v>
      </c>
      <c r="B300" s="28" t="s">
        <v>34</v>
      </c>
      <c r="C300" s="29">
        <v>45536</v>
      </c>
      <c r="D300" s="28" t="s">
        <v>608</v>
      </c>
      <c r="E300" s="30">
        <v>3</v>
      </c>
    </row>
    <row r="301" spans="1:5" x14ac:dyDescent="0.25">
      <c r="A301" s="27" t="s">
        <v>502</v>
      </c>
      <c r="B301" s="28" t="s">
        <v>34</v>
      </c>
      <c r="C301" s="29">
        <v>45566</v>
      </c>
      <c r="D301" s="28" t="s">
        <v>612</v>
      </c>
      <c r="E301" s="30">
        <v>1</v>
      </c>
    </row>
    <row r="302" spans="1:5" x14ac:dyDescent="0.25">
      <c r="A302" s="27" t="s">
        <v>503</v>
      </c>
      <c r="B302" s="28" t="s">
        <v>15</v>
      </c>
      <c r="C302" s="29">
        <v>45505</v>
      </c>
      <c r="D302" s="28" t="s">
        <v>608</v>
      </c>
      <c r="E302" s="30">
        <v>7</v>
      </c>
    </row>
    <row r="303" spans="1:5" x14ac:dyDescent="0.25">
      <c r="A303" s="27" t="s">
        <v>505</v>
      </c>
      <c r="B303" s="28" t="s">
        <v>38</v>
      </c>
      <c r="C303" s="29">
        <v>45323</v>
      </c>
      <c r="D303" s="28" t="s">
        <v>612</v>
      </c>
      <c r="E303" s="30">
        <v>2</v>
      </c>
    </row>
    <row r="304" spans="1:5" x14ac:dyDescent="0.25">
      <c r="A304" s="27" t="s">
        <v>505</v>
      </c>
      <c r="B304" s="28" t="s">
        <v>38</v>
      </c>
      <c r="C304" s="29">
        <v>45383</v>
      </c>
      <c r="D304" s="28" t="s">
        <v>609</v>
      </c>
      <c r="E304" s="30">
        <v>1</v>
      </c>
    </row>
    <row r="305" spans="1:5" x14ac:dyDescent="0.25">
      <c r="A305" s="27" t="s">
        <v>507</v>
      </c>
      <c r="B305" s="28" t="s">
        <v>49</v>
      </c>
      <c r="C305" s="29">
        <v>45444</v>
      </c>
      <c r="D305" s="28" t="s">
        <v>608</v>
      </c>
      <c r="E305" s="30">
        <v>5</v>
      </c>
    </row>
    <row r="306" spans="1:5" x14ac:dyDescent="0.25">
      <c r="A306" s="27" t="s">
        <v>507</v>
      </c>
      <c r="B306" s="28" t="s">
        <v>49</v>
      </c>
      <c r="C306" s="29">
        <v>45323</v>
      </c>
      <c r="D306" s="28" t="s">
        <v>608</v>
      </c>
      <c r="E306" s="30">
        <v>1</v>
      </c>
    </row>
    <row r="307" spans="1:5" x14ac:dyDescent="0.25">
      <c r="A307" s="27" t="s">
        <v>509</v>
      </c>
      <c r="B307" s="28" t="s">
        <v>38</v>
      </c>
      <c r="C307" s="29">
        <v>45597</v>
      </c>
      <c r="D307" s="28" t="s">
        <v>608</v>
      </c>
      <c r="E307" s="30">
        <v>7</v>
      </c>
    </row>
    <row r="308" spans="1:5" x14ac:dyDescent="0.25">
      <c r="A308" s="27" t="s">
        <v>514</v>
      </c>
      <c r="B308" s="28" t="s">
        <v>34</v>
      </c>
      <c r="C308" s="29">
        <v>45536</v>
      </c>
      <c r="D308" s="28" t="s">
        <v>608</v>
      </c>
      <c r="E308" s="30">
        <v>7</v>
      </c>
    </row>
    <row r="309" spans="1:5" x14ac:dyDescent="0.25">
      <c r="A309" s="27" t="s">
        <v>516</v>
      </c>
      <c r="B309" s="28" t="s">
        <v>34</v>
      </c>
      <c r="C309" s="29">
        <v>45323</v>
      </c>
      <c r="D309" s="28" t="s">
        <v>608</v>
      </c>
      <c r="E309" s="30">
        <v>4</v>
      </c>
    </row>
    <row r="310" spans="1:5" x14ac:dyDescent="0.25">
      <c r="A310" s="27" t="s">
        <v>516</v>
      </c>
      <c r="B310" s="28" t="s">
        <v>34</v>
      </c>
      <c r="C310" s="29">
        <v>45597</v>
      </c>
      <c r="D310" s="28" t="s">
        <v>612</v>
      </c>
      <c r="E310" s="30">
        <v>1</v>
      </c>
    </row>
    <row r="311" spans="1:5" x14ac:dyDescent="0.25">
      <c r="A311" s="27" t="s">
        <v>518</v>
      </c>
      <c r="B311" s="28" t="s">
        <v>21</v>
      </c>
      <c r="C311" s="29">
        <v>45352</v>
      </c>
      <c r="D311" s="28" t="s">
        <v>611</v>
      </c>
      <c r="E311" s="30">
        <v>2</v>
      </c>
    </row>
    <row r="312" spans="1:5" x14ac:dyDescent="0.25">
      <c r="A312" s="27" t="s">
        <v>519</v>
      </c>
      <c r="B312" s="28" t="s">
        <v>15</v>
      </c>
      <c r="C312" s="29">
        <v>45627</v>
      </c>
      <c r="D312" s="28" t="s">
        <v>608</v>
      </c>
      <c r="E312" s="30">
        <v>10</v>
      </c>
    </row>
    <row r="313" spans="1:5" x14ac:dyDescent="0.25">
      <c r="A313" s="27" t="s">
        <v>522</v>
      </c>
      <c r="B313" s="28" t="s">
        <v>34</v>
      </c>
      <c r="C313" s="29">
        <v>45627</v>
      </c>
      <c r="D313" s="28" t="s">
        <v>611</v>
      </c>
      <c r="E313" s="30">
        <v>3</v>
      </c>
    </row>
    <row r="314" spans="1:5" x14ac:dyDescent="0.25">
      <c r="A314" s="27" t="s">
        <v>524</v>
      </c>
      <c r="B314" s="28" t="s">
        <v>21</v>
      </c>
      <c r="C314" s="29">
        <v>45323</v>
      </c>
      <c r="D314" s="28" t="s">
        <v>608</v>
      </c>
      <c r="E314" s="30">
        <v>1</v>
      </c>
    </row>
    <row r="315" spans="1:5" x14ac:dyDescent="0.25">
      <c r="A315" s="27" t="s">
        <v>526</v>
      </c>
      <c r="B315" s="28" t="s">
        <v>21</v>
      </c>
      <c r="C315" s="29">
        <v>45536</v>
      </c>
      <c r="D315" s="28" t="s">
        <v>612</v>
      </c>
      <c r="E315" s="30">
        <v>1</v>
      </c>
    </row>
    <row r="316" spans="1:5" x14ac:dyDescent="0.25">
      <c r="A316" s="27" t="s">
        <v>526</v>
      </c>
      <c r="B316" s="28" t="s">
        <v>21</v>
      </c>
      <c r="C316" s="29">
        <v>45597</v>
      </c>
      <c r="D316" s="28" t="s">
        <v>611</v>
      </c>
      <c r="E316" s="30">
        <v>2</v>
      </c>
    </row>
    <row r="317" spans="1:5" x14ac:dyDescent="0.25">
      <c r="A317" s="27" t="s">
        <v>526</v>
      </c>
      <c r="B317" s="28" t="s">
        <v>21</v>
      </c>
      <c r="C317" s="29">
        <v>45413</v>
      </c>
      <c r="D317" s="28" t="s">
        <v>611</v>
      </c>
      <c r="E317" s="30">
        <v>3</v>
      </c>
    </row>
    <row r="318" spans="1:5" x14ac:dyDescent="0.25">
      <c r="A318" s="27" t="s">
        <v>528</v>
      </c>
      <c r="B318" s="28" t="s">
        <v>21</v>
      </c>
      <c r="C318" s="29">
        <v>45536</v>
      </c>
      <c r="D318" s="28" t="s">
        <v>612</v>
      </c>
      <c r="E318" s="30">
        <v>2</v>
      </c>
    </row>
    <row r="319" spans="1:5" x14ac:dyDescent="0.25">
      <c r="A319" s="27" t="s">
        <v>530</v>
      </c>
      <c r="B319" s="28" t="s">
        <v>15</v>
      </c>
      <c r="C319" s="29">
        <v>45413</v>
      </c>
      <c r="D319" s="28" t="s">
        <v>608</v>
      </c>
      <c r="E319" s="30">
        <v>4</v>
      </c>
    </row>
    <row r="320" spans="1:5" x14ac:dyDescent="0.25">
      <c r="A320" s="27" t="s">
        <v>536</v>
      </c>
      <c r="B320" s="28" t="s">
        <v>34</v>
      </c>
      <c r="C320" s="29">
        <v>45474</v>
      </c>
      <c r="D320" s="28" t="s">
        <v>609</v>
      </c>
      <c r="E320" s="30">
        <v>4</v>
      </c>
    </row>
    <row r="321" spans="1:5" x14ac:dyDescent="0.25">
      <c r="A321" s="27" t="s">
        <v>536</v>
      </c>
      <c r="B321" s="28" t="s">
        <v>34</v>
      </c>
      <c r="C321" s="29">
        <v>45474</v>
      </c>
      <c r="D321" s="28" t="s">
        <v>611</v>
      </c>
      <c r="E321" s="30">
        <v>4</v>
      </c>
    </row>
    <row r="322" spans="1:5" x14ac:dyDescent="0.25">
      <c r="A322" s="27" t="s">
        <v>537</v>
      </c>
      <c r="B322" s="28" t="s">
        <v>25</v>
      </c>
      <c r="C322" s="29">
        <v>45536</v>
      </c>
      <c r="D322" s="28" t="s">
        <v>608</v>
      </c>
      <c r="E322" s="30">
        <v>8</v>
      </c>
    </row>
    <row r="323" spans="1:5" x14ac:dyDescent="0.25">
      <c r="A323" s="27" t="s">
        <v>537</v>
      </c>
      <c r="B323" s="28" t="s">
        <v>25</v>
      </c>
      <c r="C323" s="29">
        <v>45323</v>
      </c>
      <c r="D323" s="28" t="s">
        <v>611</v>
      </c>
      <c r="E323" s="30">
        <v>2</v>
      </c>
    </row>
    <row r="324" spans="1:5" x14ac:dyDescent="0.25">
      <c r="A324" s="27" t="s">
        <v>538</v>
      </c>
      <c r="B324" s="28" t="s">
        <v>25</v>
      </c>
      <c r="C324" s="29">
        <v>45597</v>
      </c>
      <c r="D324" s="28" t="s">
        <v>608</v>
      </c>
      <c r="E324" s="30">
        <v>2</v>
      </c>
    </row>
    <row r="325" spans="1:5" x14ac:dyDescent="0.25">
      <c r="A325" s="27" t="s">
        <v>540</v>
      </c>
      <c r="B325" s="28" t="s">
        <v>15</v>
      </c>
      <c r="C325" s="29">
        <v>45292</v>
      </c>
      <c r="D325" s="28" t="s">
        <v>608</v>
      </c>
      <c r="E325" s="30">
        <v>9</v>
      </c>
    </row>
    <row r="326" spans="1:5" x14ac:dyDescent="0.25">
      <c r="A326" s="27" t="s">
        <v>542</v>
      </c>
      <c r="B326" s="28" t="s">
        <v>34</v>
      </c>
      <c r="C326" s="29">
        <v>45474</v>
      </c>
      <c r="D326" s="28" t="s">
        <v>608</v>
      </c>
      <c r="E326" s="30">
        <v>2</v>
      </c>
    </row>
    <row r="327" spans="1:5" x14ac:dyDescent="0.25">
      <c r="A327" s="27" t="s">
        <v>542</v>
      </c>
      <c r="B327" s="28" t="s">
        <v>34</v>
      </c>
      <c r="C327" s="29">
        <v>45352</v>
      </c>
      <c r="D327" s="28" t="s">
        <v>612</v>
      </c>
      <c r="E327" s="30">
        <v>1</v>
      </c>
    </row>
    <row r="328" spans="1:5" x14ac:dyDescent="0.25">
      <c r="A328" s="27" t="s">
        <v>542</v>
      </c>
      <c r="B328" s="28" t="s">
        <v>34</v>
      </c>
      <c r="C328" s="29">
        <v>45627</v>
      </c>
      <c r="D328" s="28" t="s">
        <v>608</v>
      </c>
      <c r="E328" s="30">
        <v>4</v>
      </c>
    </row>
    <row r="329" spans="1:5" x14ac:dyDescent="0.25">
      <c r="A329" s="27" t="s">
        <v>544</v>
      </c>
      <c r="B329" s="28" t="s">
        <v>25</v>
      </c>
      <c r="C329" s="29">
        <v>45352</v>
      </c>
      <c r="D329" s="28" t="s">
        <v>608</v>
      </c>
      <c r="E329" s="30">
        <v>4</v>
      </c>
    </row>
    <row r="330" spans="1:5" x14ac:dyDescent="0.25">
      <c r="A330" s="27" t="s">
        <v>544</v>
      </c>
      <c r="B330" s="28" t="s">
        <v>25</v>
      </c>
      <c r="C330" s="29">
        <v>45566</v>
      </c>
      <c r="D330" s="28" t="s">
        <v>608</v>
      </c>
      <c r="E330" s="30">
        <v>9</v>
      </c>
    </row>
    <row r="331" spans="1:5" x14ac:dyDescent="0.25">
      <c r="A331" s="27" t="s">
        <v>546</v>
      </c>
      <c r="B331" s="28" t="s">
        <v>25</v>
      </c>
      <c r="C331" s="29">
        <v>45474</v>
      </c>
      <c r="D331" s="28" t="s">
        <v>611</v>
      </c>
      <c r="E331" s="30">
        <v>2</v>
      </c>
    </row>
    <row r="332" spans="1:5" x14ac:dyDescent="0.25">
      <c r="A332" s="27" t="s">
        <v>546</v>
      </c>
      <c r="B332" s="28" t="s">
        <v>25</v>
      </c>
      <c r="C332" s="29">
        <v>45444</v>
      </c>
      <c r="D332" s="28" t="s">
        <v>608</v>
      </c>
      <c r="E332" s="30">
        <v>9</v>
      </c>
    </row>
    <row r="333" spans="1:5" x14ac:dyDescent="0.25">
      <c r="A333" s="27" t="s">
        <v>551</v>
      </c>
      <c r="B333" s="28" t="s">
        <v>34</v>
      </c>
      <c r="C333" s="29">
        <v>45566</v>
      </c>
      <c r="D333" s="28" t="s">
        <v>609</v>
      </c>
      <c r="E333" s="30">
        <v>5</v>
      </c>
    </row>
    <row r="334" spans="1:5" x14ac:dyDescent="0.25">
      <c r="A334" s="27" t="s">
        <v>558</v>
      </c>
      <c r="B334" s="28" t="s">
        <v>49</v>
      </c>
      <c r="C334" s="29">
        <v>45566</v>
      </c>
      <c r="D334" s="28" t="s">
        <v>608</v>
      </c>
      <c r="E334" s="30">
        <v>9</v>
      </c>
    </row>
    <row r="335" spans="1:5" x14ac:dyDescent="0.25">
      <c r="A335" s="27" t="s">
        <v>560</v>
      </c>
      <c r="B335" s="28" t="s">
        <v>25</v>
      </c>
      <c r="C335" s="29">
        <v>45536</v>
      </c>
      <c r="D335" s="28" t="s">
        <v>608</v>
      </c>
      <c r="E335" s="30">
        <v>3</v>
      </c>
    </row>
    <row r="336" spans="1:5" x14ac:dyDescent="0.25">
      <c r="A336" s="27" t="s">
        <v>566</v>
      </c>
      <c r="B336" s="28" t="s">
        <v>21</v>
      </c>
      <c r="C336" s="29">
        <v>45444</v>
      </c>
      <c r="D336" s="28" t="s">
        <v>608</v>
      </c>
      <c r="E336" s="30">
        <v>6</v>
      </c>
    </row>
    <row r="337" spans="1:5" x14ac:dyDescent="0.25">
      <c r="A337" s="27" t="s">
        <v>568</v>
      </c>
      <c r="B337" s="28" t="s">
        <v>49</v>
      </c>
      <c r="C337" s="29">
        <v>45352</v>
      </c>
      <c r="D337" s="28" t="s">
        <v>610</v>
      </c>
      <c r="E337" s="30">
        <v>9</v>
      </c>
    </row>
    <row r="338" spans="1:5" x14ac:dyDescent="0.25">
      <c r="A338" s="27" t="s">
        <v>568</v>
      </c>
      <c r="B338" s="28" t="s">
        <v>49</v>
      </c>
      <c r="C338" s="29">
        <v>45413</v>
      </c>
      <c r="D338" s="28" t="s">
        <v>608</v>
      </c>
      <c r="E338" s="30">
        <v>10</v>
      </c>
    </row>
    <row r="339" spans="1:5" x14ac:dyDescent="0.25">
      <c r="A339" s="27" t="s">
        <v>568</v>
      </c>
      <c r="B339" s="28" t="s">
        <v>49</v>
      </c>
      <c r="C339" s="29">
        <v>45474</v>
      </c>
      <c r="D339" s="28" t="s">
        <v>608</v>
      </c>
      <c r="E339" s="30">
        <v>3</v>
      </c>
    </row>
    <row r="340" spans="1:5" x14ac:dyDescent="0.25">
      <c r="A340" s="27" t="s">
        <v>571</v>
      </c>
      <c r="B340" s="28" t="s">
        <v>25</v>
      </c>
      <c r="C340" s="29">
        <v>45566</v>
      </c>
      <c r="D340" s="28" t="s">
        <v>612</v>
      </c>
      <c r="E340" s="30">
        <v>1</v>
      </c>
    </row>
    <row r="341" spans="1:5" x14ac:dyDescent="0.25">
      <c r="A341" s="27" t="s">
        <v>571</v>
      </c>
      <c r="B341" s="28" t="s">
        <v>25</v>
      </c>
      <c r="C341" s="29">
        <v>45627</v>
      </c>
      <c r="D341" s="28" t="s">
        <v>612</v>
      </c>
      <c r="E341" s="30">
        <v>1</v>
      </c>
    </row>
    <row r="342" spans="1:5" x14ac:dyDescent="0.25">
      <c r="A342" s="27" t="s">
        <v>581</v>
      </c>
      <c r="B342" s="28" t="s">
        <v>38</v>
      </c>
      <c r="C342" s="29">
        <v>45413</v>
      </c>
      <c r="D342" s="28" t="s">
        <v>611</v>
      </c>
      <c r="E342" s="30">
        <v>5</v>
      </c>
    </row>
    <row r="343" spans="1:5" x14ac:dyDescent="0.25">
      <c r="A343" s="27" t="s">
        <v>581</v>
      </c>
      <c r="B343" s="28" t="s">
        <v>38</v>
      </c>
      <c r="C343" s="29">
        <v>45383</v>
      </c>
      <c r="D343" s="28" t="s">
        <v>609</v>
      </c>
      <c r="E343" s="30">
        <v>5</v>
      </c>
    </row>
    <row r="344" spans="1:5" x14ac:dyDescent="0.25">
      <c r="A344" s="27" t="s">
        <v>584</v>
      </c>
      <c r="B344" s="28" t="s">
        <v>21</v>
      </c>
      <c r="C344" s="29">
        <v>45323</v>
      </c>
      <c r="D344" s="28" t="s">
        <v>611</v>
      </c>
      <c r="E344" s="30">
        <v>3</v>
      </c>
    </row>
    <row r="345" spans="1:5" x14ac:dyDescent="0.25">
      <c r="A345" s="27" t="s">
        <v>584</v>
      </c>
      <c r="B345" s="28" t="s">
        <v>21</v>
      </c>
      <c r="C345" s="29">
        <v>45444</v>
      </c>
      <c r="D345" s="28" t="s">
        <v>608</v>
      </c>
      <c r="E345" s="30">
        <v>8</v>
      </c>
    </row>
    <row r="346" spans="1:5" x14ac:dyDescent="0.25">
      <c r="A346" s="27" t="s">
        <v>587</v>
      </c>
      <c r="B346" s="28" t="s">
        <v>15</v>
      </c>
      <c r="C346" s="29">
        <v>45413</v>
      </c>
      <c r="D346" s="28" t="s">
        <v>611</v>
      </c>
      <c r="E346" s="30">
        <v>2</v>
      </c>
    </row>
    <row r="347" spans="1:5" x14ac:dyDescent="0.25">
      <c r="A347" s="27" t="s">
        <v>587</v>
      </c>
      <c r="B347" s="28" t="s">
        <v>15</v>
      </c>
      <c r="C347" s="29">
        <v>45323</v>
      </c>
      <c r="D347" s="28" t="s">
        <v>608</v>
      </c>
      <c r="E347" s="30">
        <v>5</v>
      </c>
    </row>
    <row r="348" spans="1:5" x14ac:dyDescent="0.25">
      <c r="A348" s="27" t="s">
        <v>588</v>
      </c>
      <c r="B348" s="28" t="s">
        <v>15</v>
      </c>
      <c r="C348" s="29">
        <v>45536</v>
      </c>
      <c r="D348" s="28" t="s">
        <v>612</v>
      </c>
      <c r="E348" s="30">
        <v>1</v>
      </c>
    </row>
    <row r="349" spans="1:5" x14ac:dyDescent="0.25">
      <c r="A349" s="27" t="s">
        <v>588</v>
      </c>
      <c r="B349" s="28" t="s">
        <v>15</v>
      </c>
      <c r="C349" s="29">
        <v>45323</v>
      </c>
      <c r="D349" s="28" t="s">
        <v>611</v>
      </c>
      <c r="E349" s="30">
        <v>1</v>
      </c>
    </row>
    <row r="350" spans="1:5" x14ac:dyDescent="0.25">
      <c r="A350" s="27" t="s">
        <v>591</v>
      </c>
      <c r="B350" s="28" t="s">
        <v>21</v>
      </c>
      <c r="C350" s="29">
        <v>45323</v>
      </c>
      <c r="D350" s="28" t="s">
        <v>608</v>
      </c>
      <c r="E350" s="30">
        <v>9</v>
      </c>
    </row>
    <row r="351" spans="1:5" x14ac:dyDescent="0.25">
      <c r="A351" s="27" t="s">
        <v>594</v>
      </c>
      <c r="B351" s="28" t="s">
        <v>49</v>
      </c>
      <c r="C351" s="29">
        <v>45597</v>
      </c>
      <c r="D351" s="28" t="s">
        <v>612</v>
      </c>
      <c r="E351" s="30">
        <v>1</v>
      </c>
    </row>
    <row r="352" spans="1:5" x14ac:dyDescent="0.25">
      <c r="A352" s="27" t="s">
        <v>594</v>
      </c>
      <c r="B352" s="28" t="s">
        <v>49</v>
      </c>
      <c r="C352" s="29">
        <v>45323</v>
      </c>
      <c r="D352" s="28" t="s">
        <v>612</v>
      </c>
      <c r="E352" s="30">
        <v>1</v>
      </c>
    </row>
    <row r="353" spans="1:5" x14ac:dyDescent="0.25">
      <c r="A353" s="27" t="s">
        <v>597</v>
      </c>
      <c r="B353" s="28" t="s">
        <v>34</v>
      </c>
      <c r="C353" s="29">
        <v>45627</v>
      </c>
      <c r="D353" s="28" t="s">
        <v>608</v>
      </c>
      <c r="E353" s="30">
        <v>5</v>
      </c>
    </row>
    <row r="354" spans="1:5" x14ac:dyDescent="0.25">
      <c r="A354" s="27" t="s">
        <v>597</v>
      </c>
      <c r="B354" s="28" t="s">
        <v>34</v>
      </c>
      <c r="C354" s="29">
        <v>45474</v>
      </c>
      <c r="D354" s="28" t="s">
        <v>611</v>
      </c>
      <c r="E354" s="30">
        <v>4</v>
      </c>
    </row>
    <row r="355" spans="1:5" x14ac:dyDescent="0.25">
      <c r="A355" s="27" t="s">
        <v>597</v>
      </c>
      <c r="B355" s="28" t="s">
        <v>34</v>
      </c>
      <c r="C355" s="29">
        <v>45413</v>
      </c>
      <c r="D355" s="28" t="s">
        <v>608</v>
      </c>
      <c r="E355" s="30">
        <v>4</v>
      </c>
    </row>
    <row r="356" spans="1:5" x14ac:dyDescent="0.25">
      <c r="A356" s="27" t="s">
        <v>597</v>
      </c>
      <c r="B356" s="28" t="s">
        <v>34</v>
      </c>
      <c r="C356" s="29">
        <v>45627</v>
      </c>
      <c r="D356" s="28" t="s">
        <v>608</v>
      </c>
      <c r="E356" s="30">
        <v>3</v>
      </c>
    </row>
    <row r="357" spans="1:5" ht="15.75" thickBot="1" x14ac:dyDescent="0.3">
      <c r="A357" s="31" t="s">
        <v>601</v>
      </c>
      <c r="B357" s="32" t="s">
        <v>34</v>
      </c>
      <c r="C357" s="33">
        <v>45292</v>
      </c>
      <c r="D357" s="32" t="s">
        <v>611</v>
      </c>
      <c r="E357" s="34">
        <v>3</v>
      </c>
    </row>
    <row r="358" spans="1:5" ht="15.75" thickTop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780B-85BD-4F97-B2F0-9E7B7ED08571}">
  <sheetPr>
    <tabColor rgb="FF7030A0"/>
  </sheetPr>
  <dimension ref="A1:I136"/>
  <sheetViews>
    <sheetView workbookViewId="0">
      <selection activeCell="H7" sqref="H7"/>
    </sheetView>
  </sheetViews>
  <sheetFormatPr baseColWidth="10" defaultRowHeight="15" x14ac:dyDescent="0.25"/>
  <cols>
    <col min="1" max="1" width="13.5" customWidth="1"/>
    <col min="2" max="2" width="12.375" customWidth="1"/>
    <col min="3" max="3" width="30.375" customWidth="1"/>
    <col min="4" max="4" width="15.25" customWidth="1"/>
    <col min="5" max="5" width="12.375" style="17" customWidth="1"/>
    <col min="6" max="6" width="14.75" style="1" customWidth="1"/>
    <col min="8" max="8" width="12.875" customWidth="1"/>
    <col min="9" max="9" width="19.5" customWidth="1"/>
  </cols>
  <sheetData>
    <row r="1" spans="1:9" x14ac:dyDescent="0.25">
      <c r="A1" s="2" t="s">
        <v>604</v>
      </c>
      <c r="B1" s="3" t="s">
        <v>7</v>
      </c>
      <c r="C1" s="3" t="s">
        <v>613</v>
      </c>
      <c r="D1" s="3" t="s">
        <v>614</v>
      </c>
      <c r="E1" s="14" t="s">
        <v>615</v>
      </c>
      <c r="F1" s="20" t="s">
        <v>616</v>
      </c>
    </row>
    <row r="2" spans="1:9" x14ac:dyDescent="0.25">
      <c r="A2" s="4" t="s">
        <v>10</v>
      </c>
      <c r="B2" s="5" t="s">
        <v>15</v>
      </c>
      <c r="C2" s="5" t="s">
        <v>617</v>
      </c>
      <c r="D2" s="5">
        <v>3</v>
      </c>
      <c r="E2" s="15">
        <v>1500</v>
      </c>
      <c r="F2" s="6">
        <v>45712</v>
      </c>
      <c r="H2" s="73" t="s">
        <v>7</v>
      </c>
      <c r="I2" s="73" t="s">
        <v>654</v>
      </c>
    </row>
    <row r="3" spans="1:9" x14ac:dyDescent="0.25">
      <c r="A3" s="4" t="s">
        <v>22</v>
      </c>
      <c r="B3" s="5" t="s">
        <v>25</v>
      </c>
      <c r="C3" s="5" t="s">
        <v>618</v>
      </c>
      <c r="D3" s="5">
        <v>2</v>
      </c>
      <c r="E3" s="15">
        <v>606</v>
      </c>
      <c r="F3" s="6">
        <v>45798</v>
      </c>
      <c r="H3" s="74" t="s">
        <v>38</v>
      </c>
      <c r="I3" s="75">
        <f>COUNTIF(B:B,H3)</f>
        <v>17</v>
      </c>
    </row>
    <row r="4" spans="1:9" x14ac:dyDescent="0.25">
      <c r="A4" s="4" t="s">
        <v>31</v>
      </c>
      <c r="B4" s="5" t="s">
        <v>34</v>
      </c>
      <c r="C4" s="5" t="s">
        <v>619</v>
      </c>
      <c r="D4" s="5">
        <v>1</v>
      </c>
      <c r="E4" s="15">
        <v>397</v>
      </c>
      <c r="F4" s="6">
        <v>45732</v>
      </c>
      <c r="H4" s="76"/>
      <c r="I4" s="76"/>
    </row>
    <row r="5" spans="1:9" x14ac:dyDescent="0.25">
      <c r="A5" s="4" t="s">
        <v>31</v>
      </c>
      <c r="B5" s="5" t="s">
        <v>34</v>
      </c>
      <c r="C5" s="5" t="s">
        <v>617</v>
      </c>
      <c r="D5" s="5">
        <v>2</v>
      </c>
      <c r="E5" s="15">
        <v>1028</v>
      </c>
      <c r="F5" s="6">
        <v>45465</v>
      </c>
    </row>
    <row r="6" spans="1:9" x14ac:dyDescent="0.25">
      <c r="A6" s="4" t="s">
        <v>35</v>
      </c>
      <c r="B6" s="5" t="s">
        <v>38</v>
      </c>
      <c r="C6" s="5" t="s">
        <v>620</v>
      </c>
      <c r="D6" s="5">
        <v>1</v>
      </c>
      <c r="E6" s="15">
        <v>445</v>
      </c>
      <c r="F6" s="6">
        <v>45669</v>
      </c>
    </row>
    <row r="7" spans="1:9" x14ac:dyDescent="0.25">
      <c r="A7" s="4" t="s">
        <v>43</v>
      </c>
      <c r="B7" s="5" t="s">
        <v>15</v>
      </c>
      <c r="C7" s="5" t="s">
        <v>621</v>
      </c>
      <c r="D7" s="5">
        <v>3</v>
      </c>
      <c r="E7" s="15">
        <v>1020</v>
      </c>
      <c r="F7" s="6">
        <v>45505</v>
      </c>
    </row>
    <row r="8" spans="1:9" x14ac:dyDescent="0.25">
      <c r="A8" s="4" t="s">
        <v>53</v>
      </c>
      <c r="B8" s="5" t="s">
        <v>49</v>
      </c>
      <c r="C8" s="5" t="s">
        <v>622</v>
      </c>
      <c r="D8" s="5">
        <v>3</v>
      </c>
      <c r="E8" s="15">
        <v>1125</v>
      </c>
      <c r="F8" s="6">
        <v>45710</v>
      </c>
    </row>
    <row r="9" spans="1:9" x14ac:dyDescent="0.25">
      <c r="A9" s="4" t="s">
        <v>64</v>
      </c>
      <c r="B9" s="5" t="s">
        <v>25</v>
      </c>
      <c r="C9" s="5" t="s">
        <v>623</v>
      </c>
      <c r="D9" s="5">
        <v>3</v>
      </c>
      <c r="E9" s="15">
        <v>1299</v>
      </c>
      <c r="F9" s="6">
        <v>45560</v>
      </c>
    </row>
    <row r="10" spans="1:9" x14ac:dyDescent="0.25">
      <c r="A10" s="4" t="s">
        <v>64</v>
      </c>
      <c r="B10" s="5" t="s">
        <v>25</v>
      </c>
      <c r="C10" s="5" t="s">
        <v>622</v>
      </c>
      <c r="D10" s="5">
        <v>2</v>
      </c>
      <c r="E10" s="15">
        <v>1036</v>
      </c>
      <c r="F10" s="6">
        <v>45517</v>
      </c>
    </row>
    <row r="11" spans="1:9" x14ac:dyDescent="0.25">
      <c r="A11" s="4" t="s">
        <v>70</v>
      </c>
      <c r="B11" s="5" t="s">
        <v>49</v>
      </c>
      <c r="C11" s="5" t="s">
        <v>624</v>
      </c>
      <c r="D11" s="5">
        <v>1</v>
      </c>
      <c r="E11" s="15">
        <v>472</v>
      </c>
      <c r="F11" s="6">
        <v>45633</v>
      </c>
    </row>
    <row r="12" spans="1:9" x14ac:dyDescent="0.25">
      <c r="A12" s="4" t="s">
        <v>73</v>
      </c>
      <c r="B12" s="5" t="s">
        <v>25</v>
      </c>
      <c r="C12" s="5" t="s">
        <v>624</v>
      </c>
      <c r="D12" s="5">
        <v>2</v>
      </c>
      <c r="E12" s="15">
        <v>978</v>
      </c>
      <c r="F12" s="6">
        <v>45537</v>
      </c>
    </row>
    <row r="13" spans="1:9" x14ac:dyDescent="0.25">
      <c r="A13" s="4" t="s">
        <v>86</v>
      </c>
      <c r="B13" s="5" t="s">
        <v>38</v>
      </c>
      <c r="C13" s="5" t="s">
        <v>620</v>
      </c>
      <c r="D13" s="5">
        <v>1</v>
      </c>
      <c r="E13" s="15">
        <v>480</v>
      </c>
      <c r="F13" s="6">
        <v>45459</v>
      </c>
    </row>
    <row r="14" spans="1:9" x14ac:dyDescent="0.25">
      <c r="A14" s="4" t="s">
        <v>89</v>
      </c>
      <c r="B14" s="5" t="s">
        <v>34</v>
      </c>
      <c r="C14" s="5" t="s">
        <v>620</v>
      </c>
      <c r="D14" s="5">
        <v>2</v>
      </c>
      <c r="E14" s="15">
        <v>1162</v>
      </c>
      <c r="F14" s="6">
        <v>45472</v>
      </c>
    </row>
    <row r="15" spans="1:9" x14ac:dyDescent="0.25">
      <c r="A15" s="4" t="s">
        <v>94</v>
      </c>
      <c r="B15" s="5" t="s">
        <v>38</v>
      </c>
      <c r="C15" s="5" t="s">
        <v>617</v>
      </c>
      <c r="D15" s="5">
        <v>3</v>
      </c>
      <c r="E15" s="15">
        <v>930</v>
      </c>
      <c r="F15" s="6">
        <v>45760</v>
      </c>
    </row>
    <row r="16" spans="1:9" x14ac:dyDescent="0.25">
      <c r="A16" s="4" t="s">
        <v>100</v>
      </c>
      <c r="B16" s="5" t="s">
        <v>25</v>
      </c>
      <c r="C16" s="5" t="s">
        <v>621</v>
      </c>
      <c r="D16" s="5">
        <v>1</v>
      </c>
      <c r="E16" s="15">
        <v>594</v>
      </c>
      <c r="F16" s="6">
        <v>45591</v>
      </c>
    </row>
    <row r="17" spans="1:6" x14ac:dyDescent="0.25">
      <c r="A17" s="4" t="s">
        <v>103</v>
      </c>
      <c r="B17" s="5" t="s">
        <v>34</v>
      </c>
      <c r="C17" s="5" t="s">
        <v>617</v>
      </c>
      <c r="D17" s="5">
        <v>3</v>
      </c>
      <c r="E17" s="15">
        <v>1191</v>
      </c>
      <c r="F17" s="6">
        <v>45688</v>
      </c>
    </row>
    <row r="18" spans="1:6" x14ac:dyDescent="0.25">
      <c r="A18" s="4" t="s">
        <v>109</v>
      </c>
      <c r="B18" s="5" t="s">
        <v>25</v>
      </c>
      <c r="C18" s="5" t="s">
        <v>619</v>
      </c>
      <c r="D18" s="5">
        <v>3</v>
      </c>
      <c r="E18" s="15">
        <v>1104</v>
      </c>
      <c r="F18" s="6">
        <v>45617</v>
      </c>
    </row>
    <row r="19" spans="1:6" x14ac:dyDescent="0.25">
      <c r="A19" s="4" t="s">
        <v>109</v>
      </c>
      <c r="B19" s="5" t="s">
        <v>25</v>
      </c>
      <c r="C19" s="5" t="s">
        <v>619</v>
      </c>
      <c r="D19" s="5">
        <v>3</v>
      </c>
      <c r="E19" s="15">
        <v>1764</v>
      </c>
      <c r="F19" s="6">
        <v>45793</v>
      </c>
    </row>
    <row r="20" spans="1:6" x14ac:dyDescent="0.25">
      <c r="A20" s="4" t="s">
        <v>119</v>
      </c>
      <c r="B20" s="5" t="s">
        <v>49</v>
      </c>
      <c r="C20" s="5" t="s">
        <v>625</v>
      </c>
      <c r="D20" s="5">
        <v>3</v>
      </c>
      <c r="E20" s="15">
        <v>1500</v>
      </c>
      <c r="F20" s="6">
        <v>45576</v>
      </c>
    </row>
    <row r="21" spans="1:6" x14ac:dyDescent="0.25">
      <c r="A21" s="4" t="s">
        <v>121</v>
      </c>
      <c r="B21" s="5" t="s">
        <v>34</v>
      </c>
      <c r="C21" s="5" t="s">
        <v>618</v>
      </c>
      <c r="D21" s="5">
        <v>3</v>
      </c>
      <c r="E21" s="15">
        <v>1116</v>
      </c>
      <c r="F21" s="6">
        <v>45703</v>
      </c>
    </row>
    <row r="22" spans="1:6" x14ac:dyDescent="0.25">
      <c r="A22" s="4" t="s">
        <v>127</v>
      </c>
      <c r="B22" s="5" t="s">
        <v>21</v>
      </c>
      <c r="C22" s="5" t="s">
        <v>624</v>
      </c>
      <c r="D22" s="5">
        <v>2</v>
      </c>
      <c r="E22" s="15">
        <v>1032</v>
      </c>
      <c r="F22" s="6">
        <v>45718</v>
      </c>
    </row>
    <row r="23" spans="1:6" x14ac:dyDescent="0.25">
      <c r="A23" s="4" t="s">
        <v>130</v>
      </c>
      <c r="B23" s="5" t="s">
        <v>15</v>
      </c>
      <c r="C23" s="5" t="s">
        <v>617</v>
      </c>
      <c r="D23" s="5">
        <v>3</v>
      </c>
      <c r="E23" s="15">
        <v>1209</v>
      </c>
      <c r="F23" s="6">
        <v>45661</v>
      </c>
    </row>
    <row r="24" spans="1:6" x14ac:dyDescent="0.25">
      <c r="A24" s="4" t="s">
        <v>138</v>
      </c>
      <c r="B24" s="5" t="s">
        <v>38</v>
      </c>
      <c r="C24" s="5" t="s">
        <v>623</v>
      </c>
      <c r="D24" s="5">
        <v>3</v>
      </c>
      <c r="E24" s="15">
        <v>1584</v>
      </c>
      <c r="F24" s="6">
        <v>45735</v>
      </c>
    </row>
    <row r="25" spans="1:6" x14ac:dyDescent="0.25">
      <c r="A25" s="4" t="s">
        <v>144</v>
      </c>
      <c r="B25" s="5" t="s">
        <v>25</v>
      </c>
      <c r="C25" s="5" t="s">
        <v>619</v>
      </c>
      <c r="D25" s="5">
        <v>1</v>
      </c>
      <c r="E25" s="15">
        <v>401</v>
      </c>
      <c r="F25" s="6">
        <v>45612</v>
      </c>
    </row>
    <row r="26" spans="1:6" x14ac:dyDescent="0.25">
      <c r="A26" s="4" t="s">
        <v>144</v>
      </c>
      <c r="B26" s="5" t="s">
        <v>25</v>
      </c>
      <c r="C26" s="5" t="s">
        <v>626</v>
      </c>
      <c r="D26" s="5">
        <v>1</v>
      </c>
      <c r="E26" s="15">
        <v>311</v>
      </c>
      <c r="F26" s="6">
        <v>45754</v>
      </c>
    </row>
    <row r="27" spans="1:6" x14ac:dyDescent="0.25">
      <c r="A27" s="4" t="s">
        <v>152</v>
      </c>
      <c r="B27" s="5" t="s">
        <v>49</v>
      </c>
      <c r="C27" s="5" t="s">
        <v>621</v>
      </c>
      <c r="D27" s="5">
        <v>1</v>
      </c>
      <c r="E27" s="15">
        <v>316</v>
      </c>
      <c r="F27" s="6">
        <v>45693</v>
      </c>
    </row>
    <row r="28" spans="1:6" x14ac:dyDescent="0.25">
      <c r="A28" s="4" t="s">
        <v>152</v>
      </c>
      <c r="B28" s="5" t="s">
        <v>49</v>
      </c>
      <c r="C28" s="5" t="s">
        <v>622</v>
      </c>
      <c r="D28" s="5">
        <v>1</v>
      </c>
      <c r="E28" s="15">
        <v>356</v>
      </c>
      <c r="F28" s="6">
        <v>45668</v>
      </c>
    </row>
    <row r="29" spans="1:6" x14ac:dyDescent="0.25">
      <c r="A29" s="4" t="s">
        <v>162</v>
      </c>
      <c r="B29" s="5" t="s">
        <v>38</v>
      </c>
      <c r="C29" s="5" t="s">
        <v>626</v>
      </c>
      <c r="D29" s="5">
        <v>1</v>
      </c>
      <c r="E29" s="15">
        <v>563</v>
      </c>
      <c r="F29" s="6">
        <v>45810</v>
      </c>
    </row>
    <row r="30" spans="1:6" x14ac:dyDescent="0.25">
      <c r="A30" s="4" t="s">
        <v>164</v>
      </c>
      <c r="B30" s="5" t="s">
        <v>38</v>
      </c>
      <c r="C30" s="5" t="s">
        <v>623</v>
      </c>
      <c r="D30" s="5">
        <v>3</v>
      </c>
      <c r="E30" s="15">
        <v>1140</v>
      </c>
      <c r="F30" s="6">
        <v>45758</v>
      </c>
    </row>
    <row r="31" spans="1:6" x14ac:dyDescent="0.25">
      <c r="A31" s="4" t="s">
        <v>166</v>
      </c>
      <c r="B31" s="5" t="s">
        <v>21</v>
      </c>
      <c r="C31" s="5" t="s">
        <v>624</v>
      </c>
      <c r="D31" s="5">
        <v>3</v>
      </c>
      <c r="E31" s="15">
        <v>1491</v>
      </c>
      <c r="F31" s="6">
        <v>45582</v>
      </c>
    </row>
    <row r="32" spans="1:6" x14ac:dyDescent="0.25">
      <c r="A32" s="4" t="s">
        <v>169</v>
      </c>
      <c r="B32" s="5" t="s">
        <v>49</v>
      </c>
      <c r="C32" s="5" t="s">
        <v>622</v>
      </c>
      <c r="D32" s="5">
        <v>3</v>
      </c>
      <c r="E32" s="15">
        <v>1164</v>
      </c>
      <c r="F32" s="6">
        <v>45717</v>
      </c>
    </row>
    <row r="33" spans="1:6" x14ac:dyDescent="0.25">
      <c r="A33" s="4" t="s">
        <v>169</v>
      </c>
      <c r="B33" s="5" t="s">
        <v>49</v>
      </c>
      <c r="C33" s="5" t="s">
        <v>627</v>
      </c>
      <c r="D33" s="5">
        <v>1</v>
      </c>
      <c r="E33" s="15">
        <v>567</v>
      </c>
      <c r="F33" s="6">
        <v>45792</v>
      </c>
    </row>
    <row r="34" spans="1:6" x14ac:dyDescent="0.25">
      <c r="A34" s="4" t="s">
        <v>174</v>
      </c>
      <c r="B34" s="5" t="s">
        <v>34</v>
      </c>
      <c r="C34" s="5" t="s">
        <v>626</v>
      </c>
      <c r="D34" s="5">
        <v>1</v>
      </c>
      <c r="E34" s="15">
        <v>325</v>
      </c>
      <c r="F34" s="6">
        <v>45727</v>
      </c>
    </row>
    <row r="35" spans="1:6" x14ac:dyDescent="0.25">
      <c r="A35" s="4" t="s">
        <v>174</v>
      </c>
      <c r="B35" s="5" t="s">
        <v>34</v>
      </c>
      <c r="C35" s="5" t="s">
        <v>621</v>
      </c>
      <c r="D35" s="5">
        <v>3</v>
      </c>
      <c r="E35" s="15">
        <v>1038</v>
      </c>
      <c r="F35" s="6">
        <v>45708</v>
      </c>
    </row>
    <row r="36" spans="1:6" x14ac:dyDescent="0.25">
      <c r="A36" s="4" t="s">
        <v>182</v>
      </c>
      <c r="B36" s="5" t="s">
        <v>15</v>
      </c>
      <c r="C36" s="5" t="s">
        <v>624</v>
      </c>
      <c r="D36" s="5">
        <v>1</v>
      </c>
      <c r="E36" s="15">
        <v>581</v>
      </c>
      <c r="F36" s="6">
        <v>45684</v>
      </c>
    </row>
    <row r="37" spans="1:6" x14ac:dyDescent="0.25">
      <c r="A37" s="4" t="s">
        <v>182</v>
      </c>
      <c r="B37" s="5" t="s">
        <v>15</v>
      </c>
      <c r="C37" s="5" t="s">
        <v>626</v>
      </c>
      <c r="D37" s="5">
        <v>2</v>
      </c>
      <c r="E37" s="15">
        <v>770</v>
      </c>
      <c r="F37" s="6">
        <v>45675</v>
      </c>
    </row>
    <row r="38" spans="1:6" x14ac:dyDescent="0.25">
      <c r="A38" s="4" t="s">
        <v>185</v>
      </c>
      <c r="B38" s="5" t="s">
        <v>15</v>
      </c>
      <c r="C38" s="5" t="s">
        <v>622</v>
      </c>
      <c r="D38" s="5">
        <v>1</v>
      </c>
      <c r="E38" s="15">
        <v>569</v>
      </c>
      <c r="F38" s="6">
        <v>45491</v>
      </c>
    </row>
    <row r="39" spans="1:6" x14ac:dyDescent="0.25">
      <c r="A39" s="4" t="s">
        <v>185</v>
      </c>
      <c r="B39" s="5" t="s">
        <v>15</v>
      </c>
      <c r="C39" s="5" t="s">
        <v>623</v>
      </c>
      <c r="D39" s="5">
        <v>2</v>
      </c>
      <c r="E39" s="15">
        <v>832</v>
      </c>
      <c r="F39" s="6">
        <v>45816</v>
      </c>
    </row>
    <row r="40" spans="1:6" x14ac:dyDescent="0.25">
      <c r="A40" s="4" t="s">
        <v>188</v>
      </c>
      <c r="B40" s="5" t="s">
        <v>34</v>
      </c>
      <c r="C40" s="5" t="s">
        <v>620</v>
      </c>
      <c r="D40" s="5">
        <v>1</v>
      </c>
      <c r="E40" s="15">
        <v>475</v>
      </c>
      <c r="F40" s="6">
        <v>45712</v>
      </c>
    </row>
    <row r="41" spans="1:6" x14ac:dyDescent="0.25">
      <c r="A41" s="4" t="s">
        <v>196</v>
      </c>
      <c r="B41" s="5" t="s">
        <v>38</v>
      </c>
      <c r="C41" s="5" t="s">
        <v>625</v>
      </c>
      <c r="D41" s="5">
        <v>1</v>
      </c>
      <c r="E41" s="15">
        <v>522</v>
      </c>
      <c r="F41" s="6">
        <v>45612</v>
      </c>
    </row>
    <row r="42" spans="1:6" x14ac:dyDescent="0.25">
      <c r="A42" s="4" t="s">
        <v>199</v>
      </c>
      <c r="B42" s="5" t="s">
        <v>25</v>
      </c>
      <c r="C42" s="5" t="s">
        <v>620</v>
      </c>
      <c r="D42" s="5">
        <v>2</v>
      </c>
      <c r="E42" s="15">
        <v>804</v>
      </c>
      <c r="F42" s="6">
        <v>45604</v>
      </c>
    </row>
    <row r="43" spans="1:6" x14ac:dyDescent="0.25">
      <c r="A43" s="4" t="s">
        <v>214</v>
      </c>
      <c r="B43" s="5" t="s">
        <v>34</v>
      </c>
      <c r="C43" s="5" t="s">
        <v>625</v>
      </c>
      <c r="D43" s="5">
        <v>1</v>
      </c>
      <c r="E43" s="15">
        <v>482</v>
      </c>
      <c r="F43" s="6">
        <v>45748</v>
      </c>
    </row>
    <row r="44" spans="1:6" x14ac:dyDescent="0.25">
      <c r="A44" s="4" t="s">
        <v>223</v>
      </c>
      <c r="B44" s="5" t="s">
        <v>25</v>
      </c>
      <c r="C44" s="5" t="s">
        <v>627</v>
      </c>
      <c r="D44" s="5">
        <v>1</v>
      </c>
      <c r="E44" s="15">
        <v>303</v>
      </c>
      <c r="F44" s="6">
        <v>45452</v>
      </c>
    </row>
    <row r="45" spans="1:6" x14ac:dyDescent="0.25">
      <c r="A45" s="4" t="s">
        <v>225</v>
      </c>
      <c r="B45" s="5" t="s">
        <v>34</v>
      </c>
      <c r="C45" s="5" t="s">
        <v>626</v>
      </c>
      <c r="D45" s="5">
        <v>2</v>
      </c>
      <c r="E45" s="15">
        <v>1018</v>
      </c>
      <c r="F45" s="6">
        <v>45798</v>
      </c>
    </row>
    <row r="46" spans="1:6" x14ac:dyDescent="0.25">
      <c r="A46" s="4" t="s">
        <v>231</v>
      </c>
      <c r="B46" s="5" t="s">
        <v>25</v>
      </c>
      <c r="C46" s="5" t="s">
        <v>624</v>
      </c>
      <c r="D46" s="5">
        <v>2</v>
      </c>
      <c r="E46" s="15">
        <v>1052</v>
      </c>
      <c r="F46" s="6">
        <v>45739</v>
      </c>
    </row>
    <row r="47" spans="1:6" x14ac:dyDescent="0.25">
      <c r="A47" s="4" t="s">
        <v>234</v>
      </c>
      <c r="B47" s="5" t="s">
        <v>15</v>
      </c>
      <c r="C47" s="5" t="s">
        <v>623</v>
      </c>
      <c r="D47" s="5">
        <v>1</v>
      </c>
      <c r="E47" s="15">
        <v>550</v>
      </c>
      <c r="F47" s="6">
        <v>45567</v>
      </c>
    </row>
    <row r="48" spans="1:6" x14ac:dyDescent="0.25">
      <c r="A48" s="4" t="s">
        <v>237</v>
      </c>
      <c r="B48" s="5" t="s">
        <v>15</v>
      </c>
      <c r="C48" s="5" t="s">
        <v>626</v>
      </c>
      <c r="D48" s="5">
        <v>2</v>
      </c>
      <c r="E48" s="15">
        <v>880</v>
      </c>
      <c r="F48" s="6">
        <v>45524</v>
      </c>
    </row>
    <row r="49" spans="1:6" x14ac:dyDescent="0.25">
      <c r="A49" s="4" t="s">
        <v>240</v>
      </c>
      <c r="B49" s="5" t="s">
        <v>34</v>
      </c>
      <c r="C49" s="5" t="s">
        <v>625</v>
      </c>
      <c r="D49" s="5">
        <v>3</v>
      </c>
      <c r="E49" s="15">
        <v>1014</v>
      </c>
      <c r="F49" s="6">
        <v>45810</v>
      </c>
    </row>
    <row r="50" spans="1:6" x14ac:dyDescent="0.25">
      <c r="A50" s="4" t="s">
        <v>240</v>
      </c>
      <c r="B50" s="5" t="s">
        <v>34</v>
      </c>
      <c r="C50" s="5" t="s">
        <v>623</v>
      </c>
      <c r="D50" s="5">
        <v>1</v>
      </c>
      <c r="E50" s="15">
        <v>328</v>
      </c>
      <c r="F50" s="6">
        <v>45708</v>
      </c>
    </row>
    <row r="51" spans="1:6" x14ac:dyDescent="0.25">
      <c r="A51" s="4" t="s">
        <v>243</v>
      </c>
      <c r="B51" s="5" t="s">
        <v>49</v>
      </c>
      <c r="C51" s="5" t="s">
        <v>622</v>
      </c>
      <c r="D51" s="5">
        <v>2</v>
      </c>
      <c r="E51" s="15">
        <v>1088</v>
      </c>
      <c r="F51" s="6">
        <v>45641</v>
      </c>
    </row>
    <row r="52" spans="1:6" x14ac:dyDescent="0.25">
      <c r="A52" s="4" t="s">
        <v>265</v>
      </c>
      <c r="B52" s="5" t="s">
        <v>38</v>
      </c>
      <c r="C52" s="5" t="s">
        <v>622</v>
      </c>
      <c r="D52" s="5">
        <v>1</v>
      </c>
      <c r="E52" s="15">
        <v>476</v>
      </c>
      <c r="F52" s="6">
        <v>45751</v>
      </c>
    </row>
    <row r="53" spans="1:6" x14ac:dyDescent="0.25">
      <c r="A53" s="4" t="s">
        <v>283</v>
      </c>
      <c r="B53" s="5" t="s">
        <v>38</v>
      </c>
      <c r="C53" s="5" t="s">
        <v>617</v>
      </c>
      <c r="D53" s="5">
        <v>2</v>
      </c>
      <c r="E53" s="15">
        <v>744</v>
      </c>
      <c r="F53" s="6">
        <v>45478</v>
      </c>
    </row>
    <row r="54" spans="1:6" x14ac:dyDescent="0.25">
      <c r="A54" s="4" t="s">
        <v>283</v>
      </c>
      <c r="B54" s="5" t="s">
        <v>38</v>
      </c>
      <c r="C54" s="5" t="s">
        <v>618</v>
      </c>
      <c r="D54" s="5">
        <v>2</v>
      </c>
      <c r="E54" s="15">
        <v>878</v>
      </c>
      <c r="F54" s="6">
        <v>45567</v>
      </c>
    </row>
    <row r="55" spans="1:6" x14ac:dyDescent="0.25">
      <c r="A55" s="4" t="s">
        <v>286</v>
      </c>
      <c r="B55" s="5" t="s">
        <v>15</v>
      </c>
      <c r="C55" s="5" t="s">
        <v>622</v>
      </c>
      <c r="D55" s="5">
        <v>3</v>
      </c>
      <c r="E55" s="15">
        <v>1776</v>
      </c>
      <c r="F55" s="6">
        <v>45529</v>
      </c>
    </row>
    <row r="56" spans="1:6" x14ac:dyDescent="0.25">
      <c r="A56" s="4" t="s">
        <v>286</v>
      </c>
      <c r="B56" s="5" t="s">
        <v>15</v>
      </c>
      <c r="C56" s="5" t="s">
        <v>617</v>
      </c>
      <c r="D56" s="5">
        <v>2</v>
      </c>
      <c r="E56" s="15">
        <v>720</v>
      </c>
      <c r="F56" s="6">
        <v>45475</v>
      </c>
    </row>
    <row r="57" spans="1:6" x14ac:dyDescent="0.25">
      <c r="A57" s="4" t="s">
        <v>294</v>
      </c>
      <c r="B57" s="5" t="s">
        <v>38</v>
      </c>
      <c r="C57" s="5" t="s">
        <v>621</v>
      </c>
      <c r="D57" s="5">
        <v>2</v>
      </c>
      <c r="E57" s="15">
        <v>620</v>
      </c>
      <c r="F57" s="6">
        <v>45719</v>
      </c>
    </row>
    <row r="58" spans="1:6" x14ac:dyDescent="0.25">
      <c r="A58" s="4" t="s">
        <v>294</v>
      </c>
      <c r="B58" s="5" t="s">
        <v>38</v>
      </c>
      <c r="C58" s="5" t="s">
        <v>622</v>
      </c>
      <c r="D58" s="5">
        <v>3</v>
      </c>
      <c r="E58" s="15">
        <v>1083</v>
      </c>
      <c r="F58" s="6">
        <v>45780</v>
      </c>
    </row>
    <row r="59" spans="1:6" x14ac:dyDescent="0.25">
      <c r="A59" s="4" t="s">
        <v>297</v>
      </c>
      <c r="B59" s="5" t="s">
        <v>49</v>
      </c>
      <c r="C59" s="5" t="s">
        <v>620</v>
      </c>
      <c r="D59" s="5">
        <v>3</v>
      </c>
      <c r="E59" s="15">
        <v>1356</v>
      </c>
      <c r="F59" s="6">
        <v>45781</v>
      </c>
    </row>
    <row r="60" spans="1:6" x14ac:dyDescent="0.25">
      <c r="A60" s="4" t="s">
        <v>299</v>
      </c>
      <c r="B60" s="5" t="s">
        <v>21</v>
      </c>
      <c r="C60" s="5" t="s">
        <v>620</v>
      </c>
      <c r="D60" s="5">
        <v>3</v>
      </c>
      <c r="E60" s="15">
        <v>1677</v>
      </c>
      <c r="F60" s="6">
        <v>45557</v>
      </c>
    </row>
    <row r="61" spans="1:6" x14ac:dyDescent="0.25">
      <c r="A61" s="4" t="s">
        <v>303</v>
      </c>
      <c r="B61" s="5" t="s">
        <v>34</v>
      </c>
      <c r="C61" s="5" t="s">
        <v>617</v>
      </c>
      <c r="D61" s="5">
        <v>2</v>
      </c>
      <c r="E61" s="15">
        <v>724</v>
      </c>
      <c r="F61" s="6">
        <v>45799</v>
      </c>
    </row>
    <row r="62" spans="1:6" x14ac:dyDescent="0.25">
      <c r="A62" s="4" t="s">
        <v>303</v>
      </c>
      <c r="B62" s="5" t="s">
        <v>34</v>
      </c>
      <c r="C62" s="5" t="s">
        <v>622</v>
      </c>
      <c r="D62" s="5">
        <v>3</v>
      </c>
      <c r="E62" s="15">
        <v>1626</v>
      </c>
      <c r="F62" s="6">
        <v>45556</v>
      </c>
    </row>
    <row r="63" spans="1:6" x14ac:dyDescent="0.25">
      <c r="A63" s="4" t="s">
        <v>317</v>
      </c>
      <c r="B63" s="5" t="s">
        <v>21</v>
      </c>
      <c r="C63" s="5" t="s">
        <v>625</v>
      </c>
      <c r="D63" s="5">
        <v>1</v>
      </c>
      <c r="E63" s="15">
        <v>561</v>
      </c>
      <c r="F63" s="6">
        <v>45630</v>
      </c>
    </row>
    <row r="64" spans="1:6" x14ac:dyDescent="0.25">
      <c r="A64" s="4" t="s">
        <v>320</v>
      </c>
      <c r="B64" s="5" t="s">
        <v>38</v>
      </c>
      <c r="C64" s="5" t="s">
        <v>620</v>
      </c>
      <c r="D64" s="5">
        <v>3</v>
      </c>
      <c r="E64" s="15">
        <v>1059</v>
      </c>
      <c r="F64" s="6">
        <v>45668</v>
      </c>
    </row>
    <row r="65" spans="1:6" x14ac:dyDescent="0.25">
      <c r="A65" s="4" t="s">
        <v>322</v>
      </c>
      <c r="B65" s="5" t="s">
        <v>25</v>
      </c>
      <c r="C65" s="5" t="s">
        <v>623</v>
      </c>
      <c r="D65" s="5">
        <v>1</v>
      </c>
      <c r="E65" s="15">
        <v>476</v>
      </c>
      <c r="F65" s="6">
        <v>45453</v>
      </c>
    </row>
    <row r="66" spans="1:6" x14ac:dyDescent="0.25">
      <c r="A66" s="4" t="s">
        <v>322</v>
      </c>
      <c r="B66" s="5" t="s">
        <v>25</v>
      </c>
      <c r="C66" s="5" t="s">
        <v>623</v>
      </c>
      <c r="D66" s="5">
        <v>2</v>
      </c>
      <c r="E66" s="15">
        <v>616</v>
      </c>
      <c r="F66" s="6">
        <v>45783</v>
      </c>
    </row>
    <row r="67" spans="1:6" x14ac:dyDescent="0.25">
      <c r="A67" s="4" t="s">
        <v>324</v>
      </c>
      <c r="B67" s="5" t="s">
        <v>21</v>
      </c>
      <c r="C67" s="5" t="s">
        <v>624</v>
      </c>
      <c r="D67" s="5">
        <v>2</v>
      </c>
      <c r="E67" s="15">
        <v>1080</v>
      </c>
      <c r="F67" s="6">
        <v>45657</v>
      </c>
    </row>
    <row r="68" spans="1:6" x14ac:dyDescent="0.25">
      <c r="A68" s="4" t="s">
        <v>324</v>
      </c>
      <c r="B68" s="5" t="s">
        <v>21</v>
      </c>
      <c r="C68" s="5" t="s">
        <v>627</v>
      </c>
      <c r="D68" s="5">
        <v>1</v>
      </c>
      <c r="E68" s="15">
        <v>360</v>
      </c>
      <c r="F68" s="6">
        <v>45562</v>
      </c>
    </row>
    <row r="69" spans="1:6" x14ac:dyDescent="0.25">
      <c r="A69" s="4" t="s">
        <v>334</v>
      </c>
      <c r="B69" s="5" t="s">
        <v>34</v>
      </c>
      <c r="C69" s="5" t="s">
        <v>618</v>
      </c>
      <c r="D69" s="5">
        <v>2</v>
      </c>
      <c r="E69" s="15">
        <v>604</v>
      </c>
      <c r="F69" s="6">
        <v>45538</v>
      </c>
    </row>
    <row r="70" spans="1:6" x14ac:dyDescent="0.25">
      <c r="A70" s="4" t="s">
        <v>334</v>
      </c>
      <c r="B70" s="5" t="s">
        <v>34</v>
      </c>
      <c r="C70" s="5" t="s">
        <v>622</v>
      </c>
      <c r="D70" s="5">
        <v>2</v>
      </c>
      <c r="E70" s="15">
        <v>918</v>
      </c>
      <c r="F70" s="6">
        <v>45532</v>
      </c>
    </row>
    <row r="71" spans="1:6" x14ac:dyDescent="0.25">
      <c r="A71" s="4" t="s">
        <v>337</v>
      </c>
      <c r="B71" s="5" t="s">
        <v>49</v>
      </c>
      <c r="C71" s="5" t="s">
        <v>625</v>
      </c>
      <c r="D71" s="5">
        <v>2</v>
      </c>
      <c r="E71" s="15">
        <v>776</v>
      </c>
      <c r="F71" s="6">
        <v>45576</v>
      </c>
    </row>
    <row r="72" spans="1:6" x14ac:dyDescent="0.25">
      <c r="A72" s="4" t="s">
        <v>346</v>
      </c>
      <c r="B72" s="5" t="s">
        <v>15</v>
      </c>
      <c r="C72" s="5" t="s">
        <v>625</v>
      </c>
      <c r="D72" s="5">
        <v>3</v>
      </c>
      <c r="E72" s="15">
        <v>1266</v>
      </c>
      <c r="F72" s="6">
        <v>45642</v>
      </c>
    </row>
    <row r="73" spans="1:6" x14ac:dyDescent="0.25">
      <c r="A73" s="4" t="s">
        <v>351</v>
      </c>
      <c r="B73" s="5" t="s">
        <v>15</v>
      </c>
      <c r="C73" s="5" t="s">
        <v>624</v>
      </c>
      <c r="D73" s="5">
        <v>2</v>
      </c>
      <c r="E73" s="15">
        <v>1050</v>
      </c>
      <c r="F73" s="6">
        <v>45735</v>
      </c>
    </row>
    <row r="74" spans="1:6" x14ac:dyDescent="0.25">
      <c r="A74" s="4" t="s">
        <v>354</v>
      </c>
      <c r="B74" s="5" t="s">
        <v>25</v>
      </c>
      <c r="C74" s="5" t="s">
        <v>617</v>
      </c>
      <c r="D74" s="5">
        <v>1</v>
      </c>
      <c r="E74" s="15">
        <v>308</v>
      </c>
      <c r="F74" s="6">
        <v>45457</v>
      </c>
    </row>
    <row r="75" spans="1:6" x14ac:dyDescent="0.25">
      <c r="A75" s="4" t="s">
        <v>359</v>
      </c>
      <c r="B75" s="5" t="s">
        <v>15</v>
      </c>
      <c r="C75" s="5" t="s">
        <v>624</v>
      </c>
      <c r="D75" s="5">
        <v>1</v>
      </c>
      <c r="E75" s="15">
        <v>525</v>
      </c>
      <c r="F75" s="6">
        <v>45490</v>
      </c>
    </row>
    <row r="76" spans="1:6" x14ac:dyDescent="0.25">
      <c r="A76" s="4" t="s">
        <v>359</v>
      </c>
      <c r="B76" s="5" t="s">
        <v>15</v>
      </c>
      <c r="C76" s="5" t="s">
        <v>618</v>
      </c>
      <c r="D76" s="5">
        <v>1</v>
      </c>
      <c r="E76" s="15">
        <v>423</v>
      </c>
      <c r="F76" s="6">
        <v>45774</v>
      </c>
    </row>
    <row r="77" spans="1:6" x14ac:dyDescent="0.25">
      <c r="A77" s="4" t="s">
        <v>366</v>
      </c>
      <c r="B77" s="5" t="s">
        <v>25</v>
      </c>
      <c r="C77" s="5" t="s">
        <v>623</v>
      </c>
      <c r="D77" s="5">
        <v>1</v>
      </c>
      <c r="E77" s="15">
        <v>389</v>
      </c>
      <c r="F77" s="6">
        <v>45607</v>
      </c>
    </row>
    <row r="78" spans="1:6" x14ac:dyDescent="0.25">
      <c r="A78" s="4" t="s">
        <v>371</v>
      </c>
      <c r="B78" s="5" t="s">
        <v>49</v>
      </c>
      <c r="C78" s="5" t="s">
        <v>624</v>
      </c>
      <c r="D78" s="5">
        <v>1</v>
      </c>
      <c r="E78" s="15">
        <v>475</v>
      </c>
      <c r="F78" s="6">
        <v>45615</v>
      </c>
    </row>
    <row r="79" spans="1:6" x14ac:dyDescent="0.25">
      <c r="A79" s="4" t="s">
        <v>371</v>
      </c>
      <c r="B79" s="5" t="s">
        <v>49</v>
      </c>
      <c r="C79" s="5" t="s">
        <v>624</v>
      </c>
      <c r="D79" s="5">
        <v>1</v>
      </c>
      <c r="E79" s="15">
        <v>583</v>
      </c>
      <c r="F79" s="6">
        <v>45811</v>
      </c>
    </row>
    <row r="80" spans="1:6" x14ac:dyDescent="0.25">
      <c r="A80" s="4" t="s">
        <v>375</v>
      </c>
      <c r="B80" s="5" t="s">
        <v>49</v>
      </c>
      <c r="C80" s="5" t="s">
        <v>625</v>
      </c>
      <c r="D80" s="5">
        <v>1</v>
      </c>
      <c r="E80" s="15">
        <v>339</v>
      </c>
      <c r="F80" s="6">
        <v>45767</v>
      </c>
    </row>
    <row r="81" spans="1:6" x14ac:dyDescent="0.25">
      <c r="A81" s="4" t="s">
        <v>378</v>
      </c>
      <c r="B81" s="5" t="s">
        <v>34</v>
      </c>
      <c r="C81" s="5" t="s">
        <v>626</v>
      </c>
      <c r="D81" s="5">
        <v>3</v>
      </c>
      <c r="E81" s="15">
        <v>1242</v>
      </c>
      <c r="F81" s="6">
        <v>45788</v>
      </c>
    </row>
    <row r="82" spans="1:6" x14ac:dyDescent="0.25">
      <c r="A82" s="4" t="s">
        <v>380</v>
      </c>
      <c r="B82" s="5" t="s">
        <v>38</v>
      </c>
      <c r="C82" s="5" t="s">
        <v>618</v>
      </c>
      <c r="D82" s="5">
        <v>1</v>
      </c>
      <c r="E82" s="15">
        <v>355</v>
      </c>
      <c r="F82" s="6">
        <v>45772</v>
      </c>
    </row>
    <row r="83" spans="1:6" x14ac:dyDescent="0.25">
      <c r="A83" s="4" t="s">
        <v>381</v>
      </c>
      <c r="B83" s="5" t="s">
        <v>34</v>
      </c>
      <c r="C83" s="5" t="s">
        <v>627</v>
      </c>
      <c r="D83" s="5">
        <v>3</v>
      </c>
      <c r="E83" s="15">
        <v>1017</v>
      </c>
      <c r="F83" s="6">
        <v>45498</v>
      </c>
    </row>
    <row r="84" spans="1:6" x14ac:dyDescent="0.25">
      <c r="A84" s="4" t="s">
        <v>388</v>
      </c>
      <c r="B84" s="5" t="s">
        <v>49</v>
      </c>
      <c r="C84" s="5" t="s">
        <v>620</v>
      </c>
      <c r="D84" s="5">
        <v>1</v>
      </c>
      <c r="E84" s="15">
        <v>446</v>
      </c>
      <c r="F84" s="6">
        <v>45765</v>
      </c>
    </row>
    <row r="85" spans="1:6" x14ac:dyDescent="0.25">
      <c r="A85" s="4" t="s">
        <v>391</v>
      </c>
      <c r="B85" s="5" t="s">
        <v>21</v>
      </c>
      <c r="C85" s="5" t="s">
        <v>618</v>
      </c>
      <c r="D85" s="5">
        <v>1</v>
      </c>
      <c r="E85" s="15">
        <v>391</v>
      </c>
      <c r="F85" s="6">
        <v>45815</v>
      </c>
    </row>
    <row r="86" spans="1:6" x14ac:dyDescent="0.25">
      <c r="A86" s="4" t="s">
        <v>394</v>
      </c>
      <c r="B86" s="5" t="s">
        <v>38</v>
      </c>
      <c r="C86" s="5" t="s">
        <v>624</v>
      </c>
      <c r="D86" s="5">
        <v>1</v>
      </c>
      <c r="E86" s="15">
        <v>358</v>
      </c>
      <c r="F86" s="6">
        <v>45489</v>
      </c>
    </row>
    <row r="87" spans="1:6" x14ac:dyDescent="0.25">
      <c r="A87" s="4" t="s">
        <v>402</v>
      </c>
      <c r="B87" s="5" t="s">
        <v>34</v>
      </c>
      <c r="C87" s="5" t="s">
        <v>621</v>
      </c>
      <c r="D87" s="5">
        <v>1</v>
      </c>
      <c r="E87" s="15">
        <v>490</v>
      </c>
      <c r="F87" s="6">
        <v>45568</v>
      </c>
    </row>
    <row r="88" spans="1:6" x14ac:dyDescent="0.25">
      <c r="A88" s="4" t="s">
        <v>402</v>
      </c>
      <c r="B88" s="5" t="s">
        <v>34</v>
      </c>
      <c r="C88" s="5" t="s">
        <v>624</v>
      </c>
      <c r="D88" s="5">
        <v>3</v>
      </c>
      <c r="E88" s="15">
        <v>1362</v>
      </c>
      <c r="F88" s="6">
        <v>45616</v>
      </c>
    </row>
    <row r="89" spans="1:6" x14ac:dyDescent="0.25">
      <c r="A89" s="4" t="s">
        <v>405</v>
      </c>
      <c r="B89" s="5" t="s">
        <v>15</v>
      </c>
      <c r="C89" s="5" t="s">
        <v>626</v>
      </c>
      <c r="D89" s="5">
        <v>2</v>
      </c>
      <c r="E89" s="15">
        <v>612</v>
      </c>
      <c r="F89" s="6">
        <v>45567</v>
      </c>
    </row>
    <row r="90" spans="1:6" x14ac:dyDescent="0.25">
      <c r="A90" s="4" t="s">
        <v>407</v>
      </c>
      <c r="B90" s="5" t="s">
        <v>49</v>
      </c>
      <c r="C90" s="5" t="s">
        <v>621</v>
      </c>
      <c r="D90" s="5">
        <v>1</v>
      </c>
      <c r="E90" s="15">
        <v>344</v>
      </c>
      <c r="F90" s="6">
        <v>45777</v>
      </c>
    </row>
    <row r="91" spans="1:6" x14ac:dyDescent="0.25">
      <c r="A91" s="4" t="s">
        <v>410</v>
      </c>
      <c r="B91" s="5" t="s">
        <v>15</v>
      </c>
      <c r="C91" s="5" t="s">
        <v>624</v>
      </c>
      <c r="D91" s="5">
        <v>2</v>
      </c>
      <c r="E91" s="15">
        <v>660</v>
      </c>
      <c r="F91" s="6">
        <v>45544</v>
      </c>
    </row>
    <row r="92" spans="1:6" x14ac:dyDescent="0.25">
      <c r="A92" s="4" t="s">
        <v>413</v>
      </c>
      <c r="B92" s="5" t="s">
        <v>21</v>
      </c>
      <c r="C92" s="5" t="s">
        <v>621</v>
      </c>
      <c r="D92" s="5">
        <v>3</v>
      </c>
      <c r="E92" s="15">
        <v>1377</v>
      </c>
      <c r="F92" s="6">
        <v>45743</v>
      </c>
    </row>
    <row r="93" spans="1:6" x14ac:dyDescent="0.25">
      <c r="A93" s="4" t="s">
        <v>418</v>
      </c>
      <c r="B93" s="5" t="s">
        <v>15</v>
      </c>
      <c r="C93" s="5" t="s">
        <v>619</v>
      </c>
      <c r="D93" s="5">
        <v>2</v>
      </c>
      <c r="E93" s="15">
        <v>762</v>
      </c>
      <c r="F93" s="6">
        <v>45737</v>
      </c>
    </row>
    <row r="94" spans="1:6" x14ac:dyDescent="0.25">
      <c r="A94" s="4" t="s">
        <v>419</v>
      </c>
      <c r="B94" s="5" t="s">
        <v>49</v>
      </c>
      <c r="C94" s="5" t="s">
        <v>619</v>
      </c>
      <c r="D94" s="5">
        <v>2</v>
      </c>
      <c r="E94" s="15">
        <v>1010</v>
      </c>
      <c r="F94" s="6">
        <v>45481</v>
      </c>
    </row>
    <row r="95" spans="1:6" x14ac:dyDescent="0.25">
      <c r="A95" s="4" t="s">
        <v>422</v>
      </c>
      <c r="B95" s="5" t="s">
        <v>15</v>
      </c>
      <c r="C95" s="5" t="s">
        <v>626</v>
      </c>
      <c r="D95" s="5">
        <v>3</v>
      </c>
      <c r="E95" s="15">
        <v>933</v>
      </c>
      <c r="F95" s="6">
        <v>45682</v>
      </c>
    </row>
    <row r="96" spans="1:6" x14ac:dyDescent="0.25">
      <c r="A96" s="4" t="s">
        <v>426</v>
      </c>
      <c r="B96" s="5" t="s">
        <v>15</v>
      </c>
      <c r="C96" s="5" t="s">
        <v>620</v>
      </c>
      <c r="D96" s="5">
        <v>2</v>
      </c>
      <c r="E96" s="15">
        <v>824</v>
      </c>
      <c r="F96" s="6">
        <v>45665</v>
      </c>
    </row>
    <row r="97" spans="1:6" x14ac:dyDescent="0.25">
      <c r="A97" s="4" t="s">
        <v>436</v>
      </c>
      <c r="B97" s="5" t="s">
        <v>25</v>
      </c>
      <c r="C97" s="5" t="s">
        <v>623</v>
      </c>
      <c r="D97" s="5">
        <v>3</v>
      </c>
      <c r="E97" s="15">
        <v>1119</v>
      </c>
      <c r="F97" s="6">
        <v>45495</v>
      </c>
    </row>
    <row r="98" spans="1:6" x14ac:dyDescent="0.25">
      <c r="A98" s="4" t="s">
        <v>440</v>
      </c>
      <c r="B98" s="5" t="s">
        <v>34</v>
      </c>
      <c r="C98" s="5" t="s">
        <v>618</v>
      </c>
      <c r="D98" s="5">
        <v>2</v>
      </c>
      <c r="E98" s="15">
        <v>718</v>
      </c>
      <c r="F98" s="6">
        <v>45557</v>
      </c>
    </row>
    <row r="99" spans="1:6" x14ac:dyDescent="0.25">
      <c r="A99" s="4" t="s">
        <v>446</v>
      </c>
      <c r="B99" s="5" t="s">
        <v>21</v>
      </c>
      <c r="C99" s="5" t="s">
        <v>623</v>
      </c>
      <c r="D99" s="5">
        <v>2</v>
      </c>
      <c r="E99" s="15">
        <v>1154</v>
      </c>
      <c r="F99" s="6">
        <v>45453</v>
      </c>
    </row>
    <row r="100" spans="1:6" x14ac:dyDescent="0.25">
      <c r="A100" s="4" t="s">
        <v>447</v>
      </c>
      <c r="B100" s="5" t="s">
        <v>15</v>
      </c>
      <c r="C100" s="5" t="s">
        <v>627</v>
      </c>
      <c r="D100" s="5">
        <v>1</v>
      </c>
      <c r="E100" s="15">
        <v>541</v>
      </c>
      <c r="F100" s="6">
        <v>45567</v>
      </c>
    </row>
    <row r="101" spans="1:6" x14ac:dyDescent="0.25">
      <c r="A101" s="4" t="s">
        <v>447</v>
      </c>
      <c r="B101" s="5" t="s">
        <v>15</v>
      </c>
      <c r="C101" s="5" t="s">
        <v>618</v>
      </c>
      <c r="D101" s="5">
        <v>3</v>
      </c>
      <c r="E101" s="15">
        <v>1554</v>
      </c>
      <c r="F101" s="6">
        <v>45678</v>
      </c>
    </row>
    <row r="102" spans="1:6" x14ac:dyDescent="0.25">
      <c r="A102" s="4" t="s">
        <v>451</v>
      </c>
      <c r="B102" s="5" t="s">
        <v>21</v>
      </c>
      <c r="C102" s="5" t="s">
        <v>620</v>
      </c>
      <c r="D102" s="5">
        <v>3</v>
      </c>
      <c r="E102" s="15">
        <v>1476</v>
      </c>
      <c r="F102" s="6">
        <v>45497</v>
      </c>
    </row>
    <row r="103" spans="1:6" x14ac:dyDescent="0.25">
      <c r="A103" s="4" t="s">
        <v>455</v>
      </c>
      <c r="B103" s="5" t="s">
        <v>38</v>
      </c>
      <c r="C103" s="5" t="s">
        <v>621</v>
      </c>
      <c r="D103" s="5">
        <v>1</v>
      </c>
      <c r="E103" s="15">
        <v>569</v>
      </c>
      <c r="F103" s="6">
        <v>45613</v>
      </c>
    </row>
    <row r="104" spans="1:6" x14ac:dyDescent="0.25">
      <c r="A104" s="4" t="s">
        <v>457</v>
      </c>
      <c r="B104" s="5" t="s">
        <v>25</v>
      </c>
      <c r="C104" s="5" t="s">
        <v>617</v>
      </c>
      <c r="D104" s="5">
        <v>1</v>
      </c>
      <c r="E104" s="15">
        <v>584</v>
      </c>
      <c r="F104" s="6">
        <v>45525</v>
      </c>
    </row>
    <row r="105" spans="1:6" x14ac:dyDescent="0.25">
      <c r="A105" s="4" t="s">
        <v>457</v>
      </c>
      <c r="B105" s="5" t="s">
        <v>25</v>
      </c>
      <c r="C105" s="5" t="s">
        <v>618</v>
      </c>
      <c r="D105" s="5">
        <v>3</v>
      </c>
      <c r="E105" s="15">
        <v>1509</v>
      </c>
      <c r="F105" s="6">
        <v>45774</v>
      </c>
    </row>
    <row r="106" spans="1:6" x14ac:dyDescent="0.25">
      <c r="A106" s="4" t="s">
        <v>459</v>
      </c>
      <c r="B106" s="5" t="s">
        <v>49</v>
      </c>
      <c r="C106" s="5" t="s">
        <v>618</v>
      </c>
      <c r="D106" s="5">
        <v>1</v>
      </c>
      <c r="E106" s="15">
        <v>526</v>
      </c>
      <c r="F106" s="6">
        <v>45666</v>
      </c>
    </row>
    <row r="107" spans="1:6" x14ac:dyDescent="0.25">
      <c r="A107" s="4" t="s">
        <v>467</v>
      </c>
      <c r="B107" s="5" t="s">
        <v>21</v>
      </c>
      <c r="C107" s="5" t="s">
        <v>626</v>
      </c>
      <c r="D107" s="5">
        <v>1</v>
      </c>
      <c r="E107" s="15">
        <v>378</v>
      </c>
      <c r="F107" s="6">
        <v>45763</v>
      </c>
    </row>
    <row r="108" spans="1:6" x14ac:dyDescent="0.25">
      <c r="A108" s="4" t="s">
        <v>468</v>
      </c>
      <c r="B108" s="5" t="s">
        <v>34</v>
      </c>
      <c r="C108" s="5" t="s">
        <v>618</v>
      </c>
      <c r="D108" s="5">
        <v>1</v>
      </c>
      <c r="E108" s="15">
        <v>357</v>
      </c>
      <c r="F108" s="6">
        <v>45769</v>
      </c>
    </row>
    <row r="109" spans="1:6" x14ac:dyDescent="0.25">
      <c r="A109" s="4" t="s">
        <v>474</v>
      </c>
      <c r="B109" s="5" t="s">
        <v>15</v>
      </c>
      <c r="C109" s="5" t="s">
        <v>619</v>
      </c>
      <c r="D109" s="5">
        <v>1</v>
      </c>
      <c r="E109" s="15">
        <v>398</v>
      </c>
      <c r="F109" s="6">
        <v>45475</v>
      </c>
    </row>
    <row r="110" spans="1:6" x14ac:dyDescent="0.25">
      <c r="A110" s="4" t="s">
        <v>474</v>
      </c>
      <c r="B110" s="5" t="s">
        <v>15</v>
      </c>
      <c r="C110" s="5" t="s">
        <v>619</v>
      </c>
      <c r="D110" s="5">
        <v>3</v>
      </c>
      <c r="E110" s="15">
        <v>1014</v>
      </c>
      <c r="F110" s="6">
        <v>45692</v>
      </c>
    </row>
    <row r="111" spans="1:6" x14ac:dyDescent="0.25">
      <c r="A111" s="4" t="s">
        <v>477</v>
      </c>
      <c r="B111" s="5" t="s">
        <v>25</v>
      </c>
      <c r="C111" s="5" t="s">
        <v>620</v>
      </c>
      <c r="D111" s="5">
        <v>2</v>
      </c>
      <c r="E111" s="15">
        <v>748</v>
      </c>
      <c r="F111" s="6">
        <v>45581</v>
      </c>
    </row>
    <row r="112" spans="1:6" x14ac:dyDescent="0.25">
      <c r="A112" s="4" t="s">
        <v>482</v>
      </c>
      <c r="B112" s="5" t="s">
        <v>21</v>
      </c>
      <c r="C112" s="5" t="s">
        <v>624</v>
      </c>
      <c r="D112" s="5">
        <v>2</v>
      </c>
      <c r="E112" s="15">
        <v>642</v>
      </c>
      <c r="F112" s="6">
        <v>45702</v>
      </c>
    </row>
    <row r="113" spans="1:6" x14ac:dyDescent="0.25">
      <c r="A113" s="4" t="s">
        <v>486</v>
      </c>
      <c r="B113" s="5" t="s">
        <v>49</v>
      </c>
      <c r="C113" s="5" t="s">
        <v>625</v>
      </c>
      <c r="D113" s="5">
        <v>3</v>
      </c>
      <c r="E113" s="15">
        <v>1605</v>
      </c>
      <c r="F113" s="6">
        <v>45790</v>
      </c>
    </row>
    <row r="114" spans="1:6" x14ac:dyDescent="0.25">
      <c r="A114" s="4" t="s">
        <v>489</v>
      </c>
      <c r="B114" s="5" t="s">
        <v>15</v>
      </c>
      <c r="C114" s="5" t="s">
        <v>621</v>
      </c>
      <c r="D114" s="5">
        <v>2</v>
      </c>
      <c r="E114" s="15">
        <v>766</v>
      </c>
      <c r="F114" s="6">
        <v>45576</v>
      </c>
    </row>
    <row r="115" spans="1:6" x14ac:dyDescent="0.25">
      <c r="A115" s="4" t="s">
        <v>497</v>
      </c>
      <c r="B115" s="5" t="s">
        <v>21</v>
      </c>
      <c r="C115" s="5" t="s">
        <v>617</v>
      </c>
      <c r="D115" s="5">
        <v>3</v>
      </c>
      <c r="E115" s="15">
        <v>1668</v>
      </c>
      <c r="F115" s="6">
        <v>45483</v>
      </c>
    </row>
    <row r="116" spans="1:6" x14ac:dyDescent="0.25">
      <c r="A116" s="4" t="s">
        <v>497</v>
      </c>
      <c r="B116" s="5" t="s">
        <v>21</v>
      </c>
      <c r="C116" s="5" t="s">
        <v>624</v>
      </c>
      <c r="D116" s="5">
        <v>2</v>
      </c>
      <c r="E116" s="15">
        <v>714</v>
      </c>
      <c r="F116" s="6">
        <v>45811</v>
      </c>
    </row>
    <row r="117" spans="1:6" x14ac:dyDescent="0.25">
      <c r="A117" s="4" t="s">
        <v>499</v>
      </c>
      <c r="B117" s="5" t="s">
        <v>34</v>
      </c>
      <c r="C117" s="5" t="s">
        <v>619</v>
      </c>
      <c r="D117" s="5">
        <v>3</v>
      </c>
      <c r="E117" s="15">
        <v>942</v>
      </c>
      <c r="F117" s="6">
        <v>45754</v>
      </c>
    </row>
    <row r="118" spans="1:6" x14ac:dyDescent="0.25">
      <c r="A118" s="4" t="s">
        <v>502</v>
      </c>
      <c r="B118" s="5" t="s">
        <v>34</v>
      </c>
      <c r="C118" s="5" t="s">
        <v>621</v>
      </c>
      <c r="D118" s="5">
        <v>1</v>
      </c>
      <c r="E118" s="15">
        <v>462</v>
      </c>
      <c r="F118" s="6">
        <v>45469</v>
      </c>
    </row>
    <row r="119" spans="1:6" x14ac:dyDescent="0.25">
      <c r="A119" s="4" t="s">
        <v>505</v>
      </c>
      <c r="B119" s="5" t="s">
        <v>38</v>
      </c>
      <c r="C119" s="5" t="s">
        <v>625</v>
      </c>
      <c r="D119" s="5">
        <v>3</v>
      </c>
      <c r="E119" s="15">
        <v>933</v>
      </c>
      <c r="F119" s="6">
        <v>45547</v>
      </c>
    </row>
    <row r="120" spans="1:6" x14ac:dyDescent="0.25">
      <c r="A120" s="4" t="s">
        <v>526</v>
      </c>
      <c r="B120" s="5" t="s">
        <v>21</v>
      </c>
      <c r="C120" s="5" t="s">
        <v>624</v>
      </c>
      <c r="D120" s="5">
        <v>3</v>
      </c>
      <c r="E120" s="15">
        <v>1440</v>
      </c>
      <c r="F120" s="6">
        <v>45458</v>
      </c>
    </row>
    <row r="121" spans="1:6" x14ac:dyDescent="0.25">
      <c r="A121" s="4" t="s">
        <v>528</v>
      </c>
      <c r="B121" s="5" t="s">
        <v>21</v>
      </c>
      <c r="C121" s="5" t="s">
        <v>618</v>
      </c>
      <c r="D121" s="5">
        <v>1</v>
      </c>
      <c r="E121" s="15">
        <v>345</v>
      </c>
      <c r="F121" s="6">
        <v>45569</v>
      </c>
    </row>
    <row r="122" spans="1:6" x14ac:dyDescent="0.25">
      <c r="A122" s="4" t="s">
        <v>528</v>
      </c>
      <c r="B122" s="5" t="s">
        <v>21</v>
      </c>
      <c r="C122" s="5" t="s">
        <v>618</v>
      </c>
      <c r="D122" s="5">
        <v>1</v>
      </c>
      <c r="E122" s="15">
        <v>314</v>
      </c>
      <c r="F122" s="6">
        <v>45506</v>
      </c>
    </row>
    <row r="123" spans="1:6" x14ac:dyDescent="0.25">
      <c r="A123" s="4" t="s">
        <v>536</v>
      </c>
      <c r="B123" s="5" t="s">
        <v>34</v>
      </c>
      <c r="C123" s="5" t="s">
        <v>619</v>
      </c>
      <c r="D123" s="5">
        <v>2</v>
      </c>
      <c r="E123" s="15">
        <v>1054</v>
      </c>
      <c r="F123" s="6">
        <v>45658</v>
      </c>
    </row>
    <row r="124" spans="1:6" x14ac:dyDescent="0.25">
      <c r="A124" s="4" t="s">
        <v>541</v>
      </c>
      <c r="B124" s="5" t="s">
        <v>25</v>
      </c>
      <c r="C124" s="5" t="s">
        <v>619</v>
      </c>
      <c r="D124" s="5">
        <v>1</v>
      </c>
      <c r="E124" s="15">
        <v>416</v>
      </c>
      <c r="F124" s="6">
        <v>45751</v>
      </c>
    </row>
    <row r="125" spans="1:6" x14ac:dyDescent="0.25">
      <c r="A125" s="4" t="s">
        <v>545</v>
      </c>
      <c r="B125" s="5" t="s">
        <v>25</v>
      </c>
      <c r="C125" s="5" t="s">
        <v>624</v>
      </c>
      <c r="D125" s="5">
        <v>3</v>
      </c>
      <c r="E125" s="15">
        <v>1524</v>
      </c>
      <c r="F125" s="6">
        <v>45630</v>
      </c>
    </row>
    <row r="126" spans="1:6" x14ac:dyDescent="0.25">
      <c r="A126" s="4" t="s">
        <v>545</v>
      </c>
      <c r="B126" s="5" t="s">
        <v>25</v>
      </c>
      <c r="C126" s="5" t="s">
        <v>626</v>
      </c>
      <c r="D126" s="5">
        <v>3</v>
      </c>
      <c r="E126" s="15">
        <v>1113</v>
      </c>
      <c r="F126" s="6">
        <v>45741</v>
      </c>
    </row>
    <row r="127" spans="1:6" x14ac:dyDescent="0.25">
      <c r="A127" s="4" t="s">
        <v>549</v>
      </c>
      <c r="B127" s="5" t="s">
        <v>25</v>
      </c>
      <c r="C127" s="5" t="s">
        <v>623</v>
      </c>
      <c r="D127" s="5">
        <v>3</v>
      </c>
      <c r="E127" s="15">
        <v>1182</v>
      </c>
      <c r="F127" s="6">
        <v>45812</v>
      </c>
    </row>
    <row r="128" spans="1:6" x14ac:dyDescent="0.25">
      <c r="A128" s="4" t="s">
        <v>551</v>
      </c>
      <c r="B128" s="5" t="s">
        <v>34</v>
      </c>
      <c r="C128" s="5" t="s">
        <v>627</v>
      </c>
      <c r="D128" s="5">
        <v>3</v>
      </c>
      <c r="E128" s="15">
        <v>930</v>
      </c>
      <c r="F128" s="6">
        <v>45651</v>
      </c>
    </row>
    <row r="129" spans="1:6" x14ac:dyDescent="0.25">
      <c r="A129" s="4" t="s">
        <v>554</v>
      </c>
      <c r="B129" s="5" t="s">
        <v>15</v>
      </c>
      <c r="C129" s="5" t="s">
        <v>620</v>
      </c>
      <c r="D129" s="5">
        <v>1</v>
      </c>
      <c r="E129" s="15">
        <v>588</v>
      </c>
      <c r="F129" s="6">
        <v>45540</v>
      </c>
    </row>
    <row r="130" spans="1:6" x14ac:dyDescent="0.25">
      <c r="A130" s="4" t="s">
        <v>556</v>
      </c>
      <c r="B130" s="5" t="s">
        <v>49</v>
      </c>
      <c r="C130" s="5" t="s">
        <v>625</v>
      </c>
      <c r="D130" s="5">
        <v>1</v>
      </c>
      <c r="E130" s="15">
        <v>566</v>
      </c>
      <c r="F130" s="6">
        <v>45663</v>
      </c>
    </row>
    <row r="131" spans="1:6" x14ac:dyDescent="0.25">
      <c r="A131" s="4" t="s">
        <v>556</v>
      </c>
      <c r="B131" s="5" t="s">
        <v>49</v>
      </c>
      <c r="C131" s="5" t="s">
        <v>625</v>
      </c>
      <c r="D131" s="5">
        <v>3</v>
      </c>
      <c r="E131" s="15">
        <v>1539</v>
      </c>
      <c r="F131" s="6">
        <v>45693</v>
      </c>
    </row>
    <row r="132" spans="1:6" x14ac:dyDescent="0.25">
      <c r="A132" s="4" t="s">
        <v>558</v>
      </c>
      <c r="B132" s="5" t="s">
        <v>49</v>
      </c>
      <c r="C132" s="5" t="s">
        <v>624</v>
      </c>
      <c r="D132" s="5">
        <v>1</v>
      </c>
      <c r="E132" s="15">
        <v>340</v>
      </c>
      <c r="F132" s="6">
        <v>45768</v>
      </c>
    </row>
    <row r="133" spans="1:6" x14ac:dyDescent="0.25">
      <c r="A133" s="4" t="s">
        <v>563</v>
      </c>
      <c r="B133" s="5" t="s">
        <v>25</v>
      </c>
      <c r="C133" s="5" t="s">
        <v>618</v>
      </c>
      <c r="D133" s="5">
        <v>3</v>
      </c>
      <c r="E133" s="15">
        <v>1377</v>
      </c>
      <c r="F133" s="6">
        <v>45642</v>
      </c>
    </row>
    <row r="134" spans="1:6" x14ac:dyDescent="0.25">
      <c r="A134" s="4" t="s">
        <v>563</v>
      </c>
      <c r="B134" s="5" t="s">
        <v>25</v>
      </c>
      <c r="C134" s="5" t="s">
        <v>621</v>
      </c>
      <c r="D134" s="5">
        <v>2</v>
      </c>
      <c r="E134" s="15">
        <v>758</v>
      </c>
      <c r="F134" s="6">
        <v>45687</v>
      </c>
    </row>
    <row r="135" spans="1:6" x14ac:dyDescent="0.25">
      <c r="A135" s="4" t="s">
        <v>571</v>
      </c>
      <c r="B135" s="5" t="s">
        <v>25</v>
      </c>
      <c r="C135" s="5" t="s">
        <v>617</v>
      </c>
      <c r="D135" s="5">
        <v>3</v>
      </c>
      <c r="E135" s="15">
        <v>1623</v>
      </c>
      <c r="F135" s="6">
        <v>45757</v>
      </c>
    </row>
    <row r="136" spans="1:6" x14ac:dyDescent="0.25">
      <c r="A136" s="7" t="s">
        <v>594</v>
      </c>
      <c r="B136" s="8" t="s">
        <v>49</v>
      </c>
      <c r="C136" s="8" t="s">
        <v>627</v>
      </c>
      <c r="D136" s="8">
        <v>2</v>
      </c>
      <c r="E136" s="16">
        <v>884</v>
      </c>
      <c r="F136" s="9">
        <v>45482</v>
      </c>
    </row>
  </sheetData>
  <dataValidations count="1">
    <dataValidation type="list" allowBlank="1" showInputMessage="1" showErrorMessage="1" sqref="H3" xr:uid="{B47BD8B5-44A8-4AEF-8405-71778C1072CB}">
      <formula1>$B$2:$B$136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AC67-091E-4336-AD26-865CF50FF74E}">
  <sheetPr>
    <tabColor rgb="FF00B050"/>
  </sheetPr>
  <dimension ref="A1:I251"/>
  <sheetViews>
    <sheetView workbookViewId="0">
      <selection activeCell="N4" sqref="N4"/>
    </sheetView>
  </sheetViews>
  <sheetFormatPr baseColWidth="10" defaultRowHeight="15" x14ac:dyDescent="0.25"/>
  <cols>
    <col min="1" max="1" width="13.5" customWidth="1"/>
    <col min="2" max="2" width="12.375" customWidth="1"/>
    <col min="3" max="3" width="23.625" style="1" customWidth="1"/>
    <col min="4" max="4" width="15.5" customWidth="1"/>
    <col min="5" max="5" width="22.25" bestFit="1" customWidth="1"/>
    <col min="8" max="8" width="14.625" customWidth="1"/>
  </cols>
  <sheetData>
    <row r="1" spans="1:9" x14ac:dyDescent="0.25">
      <c r="A1" t="s">
        <v>604</v>
      </c>
      <c r="B1" t="s">
        <v>7</v>
      </c>
      <c r="C1" s="1" t="s">
        <v>628</v>
      </c>
      <c r="D1" t="s">
        <v>629</v>
      </c>
      <c r="E1" t="s">
        <v>655</v>
      </c>
      <c r="F1" t="s">
        <v>656</v>
      </c>
    </row>
    <row r="2" spans="1:9" x14ac:dyDescent="0.25">
      <c r="A2" t="s">
        <v>10</v>
      </c>
      <c r="B2" t="s">
        <v>15</v>
      </c>
      <c r="C2" s="1">
        <v>45673</v>
      </c>
      <c r="D2" t="s">
        <v>630</v>
      </c>
      <c r="E2">
        <f ca="1">DATEDIF(entretiens[[#This Row],[Date dernier entretien]], TODAY(), "M")</f>
        <v>16</v>
      </c>
      <c r="F2" t="str">
        <f ca="1">IF(entretiens[[#This Row],[Mois depuis entretien]] &gt; 12, "À contrôler", "")</f>
        <v>À contrôler</v>
      </c>
    </row>
    <row r="3" spans="1:9" x14ac:dyDescent="0.25">
      <c r="A3" t="s">
        <v>17</v>
      </c>
      <c r="B3" t="s">
        <v>21</v>
      </c>
      <c r="C3" s="1">
        <v>45391</v>
      </c>
      <c r="D3" t="s">
        <v>631</v>
      </c>
      <c r="E3">
        <f ca="1">DATEDIF(entretiens[[#This Row],[Date dernier entretien]], TODAY(), "M")</f>
        <v>25</v>
      </c>
      <c r="F3" t="str">
        <f ca="1">IF(entretiens[[#This Row],[Mois depuis entretien]] &gt; 12, "À contrôler", "")</f>
        <v>À contrôler</v>
      </c>
      <c r="H3" t="s">
        <v>657</v>
      </c>
      <c r="I3" t="s">
        <v>658</v>
      </c>
    </row>
    <row r="4" spans="1:9" x14ac:dyDescent="0.25">
      <c r="A4" t="s">
        <v>22</v>
      </c>
      <c r="B4" t="s">
        <v>25</v>
      </c>
      <c r="C4" s="1">
        <v>45533</v>
      </c>
      <c r="D4" t="s">
        <v>631</v>
      </c>
      <c r="E4">
        <f ca="1">DATEDIF(entretiens[[#This Row],[Date dernier entretien]], TODAY(), "M")</f>
        <v>20</v>
      </c>
      <c r="F4" t="str">
        <f ca="1">IF(entretiens[[#This Row],[Mois depuis entretien]] &gt; 12, "À contrôler", "")</f>
        <v>À contrôler</v>
      </c>
      <c r="H4" t="s">
        <v>631</v>
      </c>
      <c r="I4">
        <f>COUNTIF(D:D,Tableau8[[#This Row],[Evaluation]])</f>
        <v>42</v>
      </c>
    </row>
    <row r="5" spans="1:9" x14ac:dyDescent="0.25">
      <c r="A5" t="s">
        <v>27</v>
      </c>
      <c r="B5" t="s">
        <v>25</v>
      </c>
      <c r="C5" s="1">
        <v>45266</v>
      </c>
      <c r="D5" t="s">
        <v>632</v>
      </c>
      <c r="E5">
        <f ca="1">DATEDIF(entretiens[[#This Row],[Date dernier entretien]], TODAY(), "M")</f>
        <v>29</v>
      </c>
      <c r="F5" t="str">
        <f ca="1">IF(entretiens[[#This Row],[Mois depuis entretien]] &gt; 12, "À contrôler", "")</f>
        <v>À contrôler</v>
      </c>
      <c r="H5" t="s">
        <v>632</v>
      </c>
      <c r="I5">
        <f>COUNTIF(D:D,Tableau8[[#This Row],[Evaluation]])</f>
        <v>56</v>
      </c>
    </row>
    <row r="6" spans="1:9" x14ac:dyDescent="0.25">
      <c r="A6" t="s">
        <v>31</v>
      </c>
      <c r="B6" t="s">
        <v>34</v>
      </c>
      <c r="C6" s="1">
        <v>45442</v>
      </c>
      <c r="D6" t="s">
        <v>632</v>
      </c>
      <c r="E6">
        <f ca="1">DATEDIF(entretiens[[#This Row],[Date dernier entretien]], TODAY(), "M")</f>
        <v>23</v>
      </c>
      <c r="F6" t="str">
        <f ca="1">IF(entretiens[[#This Row],[Mois depuis entretien]] &gt; 12, "À contrôler", "")</f>
        <v>À contrôler</v>
      </c>
      <c r="H6" t="s">
        <v>633</v>
      </c>
      <c r="I6">
        <f>COUNTIF(D:D,Tableau8[[#This Row],[Evaluation]])</f>
        <v>47</v>
      </c>
    </row>
    <row r="7" spans="1:9" x14ac:dyDescent="0.25">
      <c r="A7" t="s">
        <v>35</v>
      </c>
      <c r="B7" t="s">
        <v>38</v>
      </c>
      <c r="C7" s="1">
        <v>45177</v>
      </c>
      <c r="D7" t="s">
        <v>633</v>
      </c>
      <c r="E7">
        <f ca="1">DATEDIF(entretiens[[#This Row],[Date dernier entretien]], TODAY(), "M")</f>
        <v>32</v>
      </c>
      <c r="F7" t="str">
        <f ca="1">IF(entretiens[[#This Row],[Mois depuis entretien]] &gt; 12, "À contrôler", "")</f>
        <v>À contrôler</v>
      </c>
      <c r="H7" t="s">
        <v>630</v>
      </c>
      <c r="I7">
        <f>COUNTIF(D:D,Tableau8[[#This Row],[Evaluation]])</f>
        <v>60</v>
      </c>
    </row>
    <row r="8" spans="1:9" x14ac:dyDescent="0.25">
      <c r="A8" t="s">
        <v>39</v>
      </c>
      <c r="B8" t="s">
        <v>38</v>
      </c>
      <c r="C8" s="1">
        <v>45604</v>
      </c>
      <c r="D8" t="s">
        <v>631</v>
      </c>
      <c r="E8">
        <f ca="1">DATEDIF(entretiens[[#This Row],[Date dernier entretien]], TODAY(), "M")</f>
        <v>18</v>
      </c>
      <c r="F8" t="str">
        <f ca="1">IF(entretiens[[#This Row],[Mois depuis entretien]] &gt; 12, "À contrôler", "")</f>
        <v>À contrôler</v>
      </c>
      <c r="H8" t="s">
        <v>634</v>
      </c>
      <c r="I8">
        <f>COUNTIF(D:D,Tableau8[[#This Row],[Evaluation]])</f>
        <v>45</v>
      </c>
    </row>
    <row r="9" spans="1:9" x14ac:dyDescent="0.25">
      <c r="A9" t="s">
        <v>43</v>
      </c>
      <c r="B9" t="s">
        <v>15</v>
      </c>
      <c r="C9" s="1">
        <v>45739</v>
      </c>
      <c r="D9" t="s">
        <v>630</v>
      </c>
      <c r="E9">
        <f ca="1">DATEDIF(entretiens[[#This Row],[Date dernier entretien]], TODAY(), "M")</f>
        <v>14</v>
      </c>
      <c r="F9" t="str">
        <f ca="1">IF(entretiens[[#This Row],[Mois depuis entretien]] &gt; 12, "À contrôler", "")</f>
        <v>À contrôler</v>
      </c>
    </row>
    <row r="10" spans="1:9" x14ac:dyDescent="0.25">
      <c r="A10" t="s">
        <v>46</v>
      </c>
      <c r="B10" t="s">
        <v>49</v>
      </c>
      <c r="C10" s="1">
        <v>45349</v>
      </c>
      <c r="D10" t="s">
        <v>633</v>
      </c>
      <c r="E10">
        <f ca="1">DATEDIF(entretiens[[#This Row],[Date dernier entretien]], TODAY(), "M")</f>
        <v>26</v>
      </c>
      <c r="F10" t="str">
        <f ca="1">IF(entretiens[[#This Row],[Mois depuis entretien]] &gt; 12, "À contrôler", "")</f>
        <v>À contrôler</v>
      </c>
    </row>
    <row r="11" spans="1:9" x14ac:dyDescent="0.25">
      <c r="A11" t="s">
        <v>50</v>
      </c>
      <c r="B11" t="s">
        <v>25</v>
      </c>
      <c r="C11" s="1">
        <v>45548</v>
      </c>
      <c r="D11" t="s">
        <v>632</v>
      </c>
      <c r="E11">
        <f ca="1">DATEDIF(entretiens[[#This Row],[Date dernier entretien]], TODAY(), "M")</f>
        <v>20</v>
      </c>
      <c r="F11" t="str">
        <f ca="1">IF(entretiens[[#This Row],[Mois depuis entretien]] &gt; 12, "À contrôler", "")</f>
        <v>À contrôler</v>
      </c>
    </row>
    <row r="12" spans="1:9" x14ac:dyDescent="0.25">
      <c r="A12" t="s">
        <v>53</v>
      </c>
      <c r="B12" t="s">
        <v>49</v>
      </c>
      <c r="C12" s="1">
        <v>45739</v>
      </c>
      <c r="D12" t="s">
        <v>632</v>
      </c>
      <c r="E12">
        <f ca="1">DATEDIF(entretiens[[#This Row],[Date dernier entretien]], TODAY(), "M")</f>
        <v>14</v>
      </c>
      <c r="F12" t="str">
        <f ca="1">IF(entretiens[[#This Row],[Mois depuis entretien]] &gt; 12, "À contrôler", "")</f>
        <v>À contrôler</v>
      </c>
    </row>
    <row r="13" spans="1:9" x14ac:dyDescent="0.25">
      <c r="A13" t="s">
        <v>56</v>
      </c>
      <c r="B13" t="s">
        <v>49</v>
      </c>
      <c r="C13" s="1">
        <v>45301</v>
      </c>
      <c r="D13" t="s">
        <v>632</v>
      </c>
      <c r="E13">
        <f ca="1">DATEDIF(entretiens[[#This Row],[Date dernier entretien]], TODAY(), "M")</f>
        <v>28</v>
      </c>
      <c r="F13" t="str">
        <f ca="1">IF(entretiens[[#This Row],[Mois depuis entretien]] &gt; 12, "À contrôler", "")</f>
        <v>À contrôler</v>
      </c>
    </row>
    <row r="14" spans="1:9" x14ac:dyDescent="0.25">
      <c r="A14" t="s">
        <v>58</v>
      </c>
      <c r="B14" t="s">
        <v>34</v>
      </c>
      <c r="C14" s="1">
        <v>45390</v>
      </c>
      <c r="D14" t="s">
        <v>631</v>
      </c>
      <c r="E14">
        <f ca="1">DATEDIF(entretiens[[#This Row],[Date dernier entretien]], TODAY(), "M")</f>
        <v>25</v>
      </c>
      <c r="F14" t="str">
        <f ca="1">IF(entretiens[[#This Row],[Mois depuis entretien]] &gt; 12, "À contrôler", "")</f>
        <v>À contrôler</v>
      </c>
    </row>
    <row r="15" spans="1:9" x14ac:dyDescent="0.25">
      <c r="A15" t="s">
        <v>61</v>
      </c>
      <c r="B15" t="s">
        <v>34</v>
      </c>
      <c r="C15" s="1">
        <v>45523</v>
      </c>
      <c r="D15" t="s">
        <v>634</v>
      </c>
      <c r="E15">
        <f ca="1">DATEDIF(entretiens[[#This Row],[Date dernier entretien]], TODAY(), "M")</f>
        <v>21</v>
      </c>
      <c r="F15" t="str">
        <f ca="1">IF(entretiens[[#This Row],[Mois depuis entretien]] &gt; 12, "À contrôler", "")</f>
        <v>À contrôler</v>
      </c>
    </row>
    <row r="16" spans="1:9" x14ac:dyDescent="0.25">
      <c r="A16" t="s">
        <v>64</v>
      </c>
      <c r="B16" t="s">
        <v>25</v>
      </c>
      <c r="C16" s="1">
        <v>45632</v>
      </c>
      <c r="D16" t="s">
        <v>631</v>
      </c>
      <c r="E16">
        <f ca="1">DATEDIF(entretiens[[#This Row],[Date dernier entretien]], TODAY(), "M")</f>
        <v>17</v>
      </c>
      <c r="F16" t="str">
        <f ca="1">IF(entretiens[[#This Row],[Mois depuis entretien]] &gt; 12, "À contrôler", "")</f>
        <v>À contrôler</v>
      </c>
    </row>
    <row r="17" spans="1:6" x14ac:dyDescent="0.25">
      <c r="A17" t="s">
        <v>67</v>
      </c>
      <c r="B17" t="s">
        <v>21</v>
      </c>
      <c r="C17" s="1">
        <v>45568</v>
      </c>
      <c r="D17" t="s">
        <v>634</v>
      </c>
      <c r="E17">
        <f ca="1">DATEDIF(entretiens[[#This Row],[Date dernier entretien]], TODAY(), "M")</f>
        <v>19</v>
      </c>
      <c r="F17" t="str">
        <f ca="1">IF(entretiens[[#This Row],[Mois depuis entretien]] &gt; 12, "À contrôler", "")</f>
        <v>À contrôler</v>
      </c>
    </row>
    <row r="18" spans="1:6" x14ac:dyDescent="0.25">
      <c r="A18" t="s">
        <v>70</v>
      </c>
      <c r="B18" t="s">
        <v>49</v>
      </c>
      <c r="C18" s="1">
        <v>45694</v>
      </c>
      <c r="D18" t="s">
        <v>630</v>
      </c>
      <c r="E18">
        <f ca="1">DATEDIF(entretiens[[#This Row],[Date dernier entretien]], TODAY(), "M")</f>
        <v>15</v>
      </c>
      <c r="F18" t="str">
        <f ca="1">IF(entretiens[[#This Row],[Mois depuis entretien]] &gt; 12, "À contrôler", "")</f>
        <v>À contrôler</v>
      </c>
    </row>
    <row r="19" spans="1:6" x14ac:dyDescent="0.25">
      <c r="A19" t="s">
        <v>73</v>
      </c>
      <c r="B19" t="s">
        <v>25</v>
      </c>
      <c r="C19" s="1">
        <v>45356</v>
      </c>
      <c r="D19" t="s">
        <v>634</v>
      </c>
      <c r="E19">
        <f ca="1">DATEDIF(entretiens[[#This Row],[Date dernier entretien]], TODAY(), "M")</f>
        <v>26</v>
      </c>
      <c r="F19" t="str">
        <f ca="1">IF(entretiens[[#This Row],[Mois depuis entretien]] &gt; 12, "À contrôler", "")</f>
        <v>À contrôler</v>
      </c>
    </row>
    <row r="20" spans="1:6" x14ac:dyDescent="0.25">
      <c r="A20" t="s">
        <v>76</v>
      </c>
      <c r="B20" t="s">
        <v>21</v>
      </c>
      <c r="C20" s="1">
        <v>45466</v>
      </c>
      <c r="D20" t="s">
        <v>632</v>
      </c>
      <c r="E20">
        <f ca="1">DATEDIF(entretiens[[#This Row],[Date dernier entretien]], TODAY(), "M")</f>
        <v>23</v>
      </c>
      <c r="F20" t="str">
        <f ca="1">IF(entretiens[[#This Row],[Mois depuis entretien]] &gt; 12, "À contrôler", "")</f>
        <v>À contrôler</v>
      </c>
    </row>
    <row r="21" spans="1:6" x14ac:dyDescent="0.25">
      <c r="A21" t="s">
        <v>80</v>
      </c>
      <c r="B21" t="s">
        <v>21</v>
      </c>
      <c r="C21" s="1">
        <v>45613</v>
      </c>
      <c r="D21" t="s">
        <v>633</v>
      </c>
      <c r="E21">
        <f ca="1">DATEDIF(entretiens[[#This Row],[Date dernier entretien]], TODAY(), "M")</f>
        <v>18</v>
      </c>
      <c r="F21" t="str">
        <f ca="1">IF(entretiens[[#This Row],[Mois depuis entretien]] &gt; 12, "À contrôler", "")</f>
        <v>À contrôler</v>
      </c>
    </row>
    <row r="22" spans="1:6" x14ac:dyDescent="0.25">
      <c r="A22" t="s">
        <v>83</v>
      </c>
      <c r="B22" t="s">
        <v>15</v>
      </c>
      <c r="C22" s="1">
        <v>45370</v>
      </c>
      <c r="D22" t="s">
        <v>633</v>
      </c>
      <c r="E22">
        <f ca="1">DATEDIF(entretiens[[#This Row],[Date dernier entretien]], TODAY(), "M")</f>
        <v>26</v>
      </c>
      <c r="F22" t="str">
        <f ca="1">IF(entretiens[[#This Row],[Mois depuis entretien]] &gt; 12, "À contrôler", "")</f>
        <v>À contrôler</v>
      </c>
    </row>
    <row r="23" spans="1:6" x14ac:dyDescent="0.25">
      <c r="A23" t="s">
        <v>86</v>
      </c>
      <c r="B23" t="s">
        <v>38</v>
      </c>
      <c r="C23" s="1">
        <v>45219</v>
      </c>
      <c r="D23" t="s">
        <v>634</v>
      </c>
      <c r="E23">
        <f ca="1">DATEDIF(entretiens[[#This Row],[Date dernier entretien]], TODAY(), "M")</f>
        <v>31</v>
      </c>
      <c r="F23" t="str">
        <f ca="1">IF(entretiens[[#This Row],[Mois depuis entretien]] &gt; 12, "À contrôler", "")</f>
        <v>À contrôler</v>
      </c>
    </row>
    <row r="24" spans="1:6" x14ac:dyDescent="0.25">
      <c r="A24" t="s">
        <v>89</v>
      </c>
      <c r="B24" t="s">
        <v>34</v>
      </c>
      <c r="C24" s="1">
        <v>45696</v>
      </c>
      <c r="D24" t="s">
        <v>632</v>
      </c>
      <c r="E24">
        <f ca="1">DATEDIF(entretiens[[#This Row],[Date dernier entretien]], TODAY(), "M")</f>
        <v>15</v>
      </c>
      <c r="F24" t="str">
        <f ca="1">IF(entretiens[[#This Row],[Mois depuis entretien]] &gt; 12, "À contrôler", "")</f>
        <v>À contrôler</v>
      </c>
    </row>
    <row r="25" spans="1:6" x14ac:dyDescent="0.25">
      <c r="A25" t="s">
        <v>92</v>
      </c>
      <c r="B25" t="s">
        <v>15</v>
      </c>
      <c r="C25" s="1">
        <v>45406</v>
      </c>
      <c r="D25" t="s">
        <v>632</v>
      </c>
      <c r="E25">
        <f ca="1">DATEDIF(entretiens[[#This Row],[Date dernier entretien]], TODAY(), "M")</f>
        <v>25</v>
      </c>
      <c r="F25" t="str">
        <f ca="1">IF(entretiens[[#This Row],[Mois depuis entretien]] &gt; 12, "À contrôler", "")</f>
        <v>À contrôler</v>
      </c>
    </row>
    <row r="26" spans="1:6" x14ac:dyDescent="0.25">
      <c r="A26" t="s">
        <v>94</v>
      </c>
      <c r="B26" t="s">
        <v>38</v>
      </c>
      <c r="C26" s="1">
        <v>45354</v>
      </c>
      <c r="D26" t="s">
        <v>630</v>
      </c>
      <c r="E26">
        <f ca="1">DATEDIF(entretiens[[#This Row],[Date dernier entretien]], TODAY(), "M")</f>
        <v>26</v>
      </c>
      <c r="F26" t="str">
        <f ca="1">IF(entretiens[[#This Row],[Mois depuis entretien]] &gt; 12, "À contrôler", "")</f>
        <v>À contrôler</v>
      </c>
    </row>
    <row r="27" spans="1:6" x14ac:dyDescent="0.25">
      <c r="A27" t="s">
        <v>97</v>
      </c>
      <c r="B27" t="s">
        <v>38</v>
      </c>
      <c r="C27" s="1">
        <v>45187</v>
      </c>
      <c r="D27" t="s">
        <v>634</v>
      </c>
      <c r="E27">
        <f ca="1">DATEDIF(entretiens[[#This Row],[Date dernier entretien]], TODAY(), "M")</f>
        <v>32</v>
      </c>
      <c r="F27" t="str">
        <f ca="1">IF(entretiens[[#This Row],[Mois depuis entretien]] &gt; 12, "À contrôler", "")</f>
        <v>À contrôler</v>
      </c>
    </row>
    <row r="28" spans="1:6" x14ac:dyDescent="0.25">
      <c r="A28" t="s">
        <v>100</v>
      </c>
      <c r="B28" t="s">
        <v>25</v>
      </c>
      <c r="C28" s="1">
        <v>45444</v>
      </c>
      <c r="D28" t="s">
        <v>630</v>
      </c>
      <c r="E28">
        <f ca="1">DATEDIF(entretiens[[#This Row],[Date dernier entretien]], TODAY(), "M")</f>
        <v>23</v>
      </c>
      <c r="F28" t="str">
        <f ca="1">IF(entretiens[[#This Row],[Mois depuis entretien]] &gt; 12, "À contrôler", "")</f>
        <v>À contrôler</v>
      </c>
    </row>
    <row r="29" spans="1:6" x14ac:dyDescent="0.25">
      <c r="A29" t="s">
        <v>103</v>
      </c>
      <c r="B29" t="s">
        <v>34</v>
      </c>
      <c r="C29" s="1">
        <v>45268</v>
      </c>
      <c r="D29" t="s">
        <v>634</v>
      </c>
      <c r="E29">
        <f ca="1">DATEDIF(entretiens[[#This Row],[Date dernier entretien]], TODAY(), "M")</f>
        <v>29</v>
      </c>
      <c r="F29" t="str">
        <f ca="1">IF(entretiens[[#This Row],[Mois depuis entretien]] &gt; 12, "À contrôler", "")</f>
        <v>À contrôler</v>
      </c>
    </row>
    <row r="30" spans="1:6" x14ac:dyDescent="0.25">
      <c r="A30" t="s">
        <v>106</v>
      </c>
      <c r="B30" t="s">
        <v>25</v>
      </c>
      <c r="C30" s="1">
        <v>45106</v>
      </c>
      <c r="D30" t="s">
        <v>631</v>
      </c>
      <c r="E30">
        <f ca="1">DATEDIF(entretiens[[#This Row],[Date dernier entretien]], TODAY(), "M")</f>
        <v>34</v>
      </c>
      <c r="F30" t="str">
        <f ca="1">IF(entretiens[[#This Row],[Mois depuis entretien]] &gt; 12, "À contrôler", "")</f>
        <v>À contrôler</v>
      </c>
    </row>
    <row r="31" spans="1:6" x14ac:dyDescent="0.25">
      <c r="A31" t="s">
        <v>109</v>
      </c>
      <c r="B31" t="s">
        <v>25</v>
      </c>
      <c r="C31" s="1">
        <v>45113</v>
      </c>
      <c r="D31" t="s">
        <v>634</v>
      </c>
      <c r="E31">
        <f ca="1">DATEDIF(entretiens[[#This Row],[Date dernier entretien]], TODAY(), "M")</f>
        <v>34</v>
      </c>
      <c r="F31" t="str">
        <f ca="1">IF(entretiens[[#This Row],[Mois depuis entretien]] &gt; 12, "À contrôler", "")</f>
        <v>À contrôler</v>
      </c>
    </row>
    <row r="32" spans="1:6" x14ac:dyDescent="0.25">
      <c r="A32" t="s">
        <v>111</v>
      </c>
      <c r="B32" t="s">
        <v>15</v>
      </c>
      <c r="C32" s="1">
        <v>45288</v>
      </c>
      <c r="D32" t="s">
        <v>632</v>
      </c>
      <c r="E32">
        <f ca="1">DATEDIF(entretiens[[#This Row],[Date dernier entretien]], TODAY(), "M")</f>
        <v>28</v>
      </c>
      <c r="F32" t="str">
        <f ca="1">IF(entretiens[[#This Row],[Mois depuis entretien]] &gt; 12, "À contrôler", "")</f>
        <v>À contrôler</v>
      </c>
    </row>
    <row r="33" spans="1:6" x14ac:dyDescent="0.25">
      <c r="A33" t="s">
        <v>114</v>
      </c>
      <c r="B33" t="s">
        <v>21</v>
      </c>
      <c r="C33" s="1">
        <v>45151</v>
      </c>
      <c r="D33" t="s">
        <v>633</v>
      </c>
      <c r="E33">
        <f ca="1">DATEDIF(entretiens[[#This Row],[Date dernier entretien]], TODAY(), "M")</f>
        <v>33</v>
      </c>
      <c r="F33" t="str">
        <f ca="1">IF(entretiens[[#This Row],[Mois depuis entretien]] &gt; 12, "À contrôler", "")</f>
        <v>À contrôler</v>
      </c>
    </row>
    <row r="34" spans="1:6" x14ac:dyDescent="0.25">
      <c r="A34" t="s">
        <v>116</v>
      </c>
      <c r="B34" t="s">
        <v>49</v>
      </c>
      <c r="C34" s="1">
        <v>45142</v>
      </c>
      <c r="D34" t="s">
        <v>632</v>
      </c>
      <c r="E34">
        <f ca="1">DATEDIF(entretiens[[#This Row],[Date dernier entretien]], TODAY(), "M")</f>
        <v>33</v>
      </c>
      <c r="F34" t="str">
        <f ca="1">IF(entretiens[[#This Row],[Mois depuis entretien]] &gt; 12, "À contrôler", "")</f>
        <v>À contrôler</v>
      </c>
    </row>
    <row r="35" spans="1:6" x14ac:dyDescent="0.25">
      <c r="A35" t="s">
        <v>119</v>
      </c>
      <c r="B35" t="s">
        <v>49</v>
      </c>
      <c r="C35" s="1">
        <v>45798</v>
      </c>
      <c r="D35" t="s">
        <v>633</v>
      </c>
      <c r="E35">
        <f ca="1">DATEDIF(entretiens[[#This Row],[Date dernier entretien]], TODAY(), "M")</f>
        <v>12</v>
      </c>
      <c r="F35" t="str">
        <f ca="1">IF(entretiens[[#This Row],[Mois depuis entretien]] &gt; 12, "À contrôler", "")</f>
        <v/>
      </c>
    </row>
    <row r="36" spans="1:6" x14ac:dyDescent="0.25">
      <c r="A36" t="s">
        <v>121</v>
      </c>
      <c r="B36" t="s">
        <v>34</v>
      </c>
      <c r="C36" s="1">
        <v>45250</v>
      </c>
      <c r="D36" t="s">
        <v>634</v>
      </c>
      <c r="E36">
        <f ca="1">DATEDIF(entretiens[[#This Row],[Date dernier entretien]], TODAY(), "M")</f>
        <v>30</v>
      </c>
      <c r="F36" t="str">
        <f ca="1">IF(entretiens[[#This Row],[Mois depuis entretien]] &gt; 12, "À contrôler", "")</f>
        <v>À contrôler</v>
      </c>
    </row>
    <row r="37" spans="1:6" x14ac:dyDescent="0.25">
      <c r="A37" t="s">
        <v>124</v>
      </c>
      <c r="B37" t="s">
        <v>38</v>
      </c>
      <c r="C37" s="1">
        <v>45383</v>
      </c>
      <c r="D37" t="s">
        <v>630</v>
      </c>
      <c r="E37">
        <f ca="1">DATEDIF(entretiens[[#This Row],[Date dernier entretien]], TODAY(), "M")</f>
        <v>25</v>
      </c>
      <c r="F37" t="str">
        <f ca="1">IF(entretiens[[#This Row],[Mois depuis entretien]] &gt; 12, "À contrôler", "")</f>
        <v>À contrôler</v>
      </c>
    </row>
    <row r="38" spans="1:6" x14ac:dyDescent="0.25">
      <c r="A38" t="s">
        <v>127</v>
      </c>
      <c r="B38" t="s">
        <v>21</v>
      </c>
      <c r="C38" s="1">
        <v>45753</v>
      </c>
      <c r="D38" t="s">
        <v>630</v>
      </c>
      <c r="E38">
        <f ca="1">DATEDIF(entretiens[[#This Row],[Date dernier entretien]], TODAY(), "M")</f>
        <v>13</v>
      </c>
      <c r="F38" t="str">
        <f ca="1">IF(entretiens[[#This Row],[Mois depuis entretien]] &gt; 12, "À contrôler", "")</f>
        <v>À contrôler</v>
      </c>
    </row>
    <row r="39" spans="1:6" x14ac:dyDescent="0.25">
      <c r="A39" t="s">
        <v>130</v>
      </c>
      <c r="B39" t="s">
        <v>15</v>
      </c>
      <c r="C39" s="1">
        <v>45277</v>
      </c>
      <c r="D39" t="s">
        <v>632</v>
      </c>
      <c r="E39">
        <f ca="1">DATEDIF(entretiens[[#This Row],[Date dernier entretien]], TODAY(), "M")</f>
        <v>29</v>
      </c>
      <c r="F39" t="str">
        <f ca="1">IF(entretiens[[#This Row],[Mois depuis entretien]] &gt; 12, "À contrôler", "")</f>
        <v>À contrôler</v>
      </c>
    </row>
    <row r="40" spans="1:6" x14ac:dyDescent="0.25">
      <c r="A40" t="s">
        <v>133</v>
      </c>
      <c r="B40" t="s">
        <v>49</v>
      </c>
      <c r="C40" s="1">
        <v>45315</v>
      </c>
      <c r="D40" t="s">
        <v>632</v>
      </c>
      <c r="E40">
        <f ca="1">DATEDIF(entretiens[[#This Row],[Date dernier entretien]], TODAY(), "M")</f>
        <v>28</v>
      </c>
      <c r="F40" t="str">
        <f ca="1">IF(entretiens[[#This Row],[Mois depuis entretien]] &gt; 12, "À contrôler", "")</f>
        <v>À contrôler</v>
      </c>
    </row>
    <row r="41" spans="1:6" x14ac:dyDescent="0.25">
      <c r="A41" t="s">
        <v>135</v>
      </c>
      <c r="B41" t="s">
        <v>15</v>
      </c>
      <c r="C41" s="1">
        <v>45432</v>
      </c>
      <c r="D41" t="s">
        <v>634</v>
      </c>
      <c r="E41">
        <f ca="1">DATEDIF(entretiens[[#This Row],[Date dernier entretien]], TODAY(), "M")</f>
        <v>24</v>
      </c>
      <c r="F41" t="str">
        <f ca="1">IF(entretiens[[#This Row],[Mois depuis entretien]] &gt; 12, "À contrôler", "")</f>
        <v>À contrôler</v>
      </c>
    </row>
    <row r="42" spans="1:6" x14ac:dyDescent="0.25">
      <c r="A42" t="s">
        <v>138</v>
      </c>
      <c r="B42" t="s">
        <v>38</v>
      </c>
      <c r="C42" s="1">
        <v>45389</v>
      </c>
      <c r="D42" t="s">
        <v>632</v>
      </c>
      <c r="E42">
        <f ca="1">DATEDIF(entretiens[[#This Row],[Date dernier entretien]], TODAY(), "M")</f>
        <v>25</v>
      </c>
      <c r="F42" t="str">
        <f ca="1">IF(entretiens[[#This Row],[Mois depuis entretien]] &gt; 12, "À contrôler", "")</f>
        <v>À contrôler</v>
      </c>
    </row>
    <row r="43" spans="1:6" x14ac:dyDescent="0.25">
      <c r="A43" t="s">
        <v>141</v>
      </c>
      <c r="B43" t="s">
        <v>15</v>
      </c>
      <c r="C43" s="1">
        <v>45351</v>
      </c>
      <c r="D43" t="s">
        <v>630</v>
      </c>
      <c r="E43">
        <f ca="1">DATEDIF(entretiens[[#This Row],[Date dernier entretien]], TODAY(), "M")</f>
        <v>26</v>
      </c>
      <c r="F43" t="str">
        <f ca="1">IF(entretiens[[#This Row],[Mois depuis entretien]] &gt; 12, "À contrôler", "")</f>
        <v>À contrôler</v>
      </c>
    </row>
    <row r="44" spans="1:6" x14ac:dyDescent="0.25">
      <c r="A44" t="s">
        <v>144</v>
      </c>
      <c r="B44" t="s">
        <v>25</v>
      </c>
      <c r="C44" s="1">
        <v>45265</v>
      </c>
      <c r="D44" t="s">
        <v>632</v>
      </c>
      <c r="E44">
        <f ca="1">DATEDIF(entretiens[[#This Row],[Date dernier entretien]], TODAY(), "M")</f>
        <v>29</v>
      </c>
      <c r="F44" t="str">
        <f ca="1">IF(entretiens[[#This Row],[Mois depuis entretien]] &gt; 12, "À contrôler", "")</f>
        <v>À contrôler</v>
      </c>
    </row>
    <row r="45" spans="1:6" x14ac:dyDescent="0.25">
      <c r="A45" t="s">
        <v>147</v>
      </c>
      <c r="B45" t="s">
        <v>21</v>
      </c>
      <c r="C45" s="1">
        <v>45351</v>
      </c>
      <c r="D45" t="s">
        <v>630</v>
      </c>
      <c r="E45">
        <f ca="1">DATEDIF(entretiens[[#This Row],[Date dernier entretien]], TODAY(), "M")</f>
        <v>26</v>
      </c>
      <c r="F45" t="str">
        <f ca="1">IF(entretiens[[#This Row],[Mois depuis entretien]] &gt; 12, "À contrôler", "")</f>
        <v>À contrôler</v>
      </c>
    </row>
    <row r="46" spans="1:6" x14ac:dyDescent="0.25">
      <c r="A46" t="s">
        <v>150</v>
      </c>
      <c r="B46" t="s">
        <v>38</v>
      </c>
      <c r="C46" s="1">
        <v>45311</v>
      </c>
      <c r="D46" t="s">
        <v>630</v>
      </c>
      <c r="E46">
        <f ca="1">DATEDIF(entretiens[[#This Row],[Date dernier entretien]], TODAY(), "M")</f>
        <v>28</v>
      </c>
      <c r="F46" t="str">
        <f ca="1">IF(entretiens[[#This Row],[Mois depuis entretien]] &gt; 12, "À contrôler", "")</f>
        <v>À contrôler</v>
      </c>
    </row>
    <row r="47" spans="1:6" x14ac:dyDescent="0.25">
      <c r="A47" t="s">
        <v>152</v>
      </c>
      <c r="B47" t="s">
        <v>49</v>
      </c>
      <c r="C47" s="1">
        <v>45193</v>
      </c>
      <c r="D47" t="s">
        <v>633</v>
      </c>
      <c r="E47">
        <f ca="1">DATEDIF(entretiens[[#This Row],[Date dernier entretien]], TODAY(), "M")</f>
        <v>32</v>
      </c>
      <c r="F47" t="str">
        <f ca="1">IF(entretiens[[#This Row],[Mois depuis entretien]] &gt; 12, "À contrôler", "")</f>
        <v>À contrôler</v>
      </c>
    </row>
    <row r="48" spans="1:6" x14ac:dyDescent="0.25">
      <c r="A48" t="s">
        <v>155</v>
      </c>
      <c r="B48" t="s">
        <v>15</v>
      </c>
      <c r="C48" s="1">
        <v>45746</v>
      </c>
      <c r="D48" t="s">
        <v>632</v>
      </c>
      <c r="E48">
        <f ca="1">DATEDIF(entretiens[[#This Row],[Date dernier entretien]], TODAY(), "M")</f>
        <v>13</v>
      </c>
      <c r="F48" t="str">
        <f ca="1">IF(entretiens[[#This Row],[Mois depuis entretien]] &gt; 12, "À contrôler", "")</f>
        <v>À contrôler</v>
      </c>
    </row>
    <row r="49" spans="1:6" x14ac:dyDescent="0.25">
      <c r="A49" t="s">
        <v>157</v>
      </c>
      <c r="B49" t="s">
        <v>25</v>
      </c>
      <c r="C49" s="1">
        <v>45467</v>
      </c>
      <c r="D49" t="s">
        <v>631</v>
      </c>
      <c r="E49">
        <f ca="1">DATEDIF(entretiens[[#This Row],[Date dernier entretien]], TODAY(), "M")</f>
        <v>23</v>
      </c>
      <c r="F49" t="str">
        <f ca="1">IF(entretiens[[#This Row],[Mois depuis entretien]] &gt; 12, "À contrôler", "")</f>
        <v>À contrôler</v>
      </c>
    </row>
    <row r="50" spans="1:6" x14ac:dyDescent="0.25">
      <c r="A50" t="s">
        <v>160</v>
      </c>
      <c r="B50" t="s">
        <v>38</v>
      </c>
      <c r="C50" s="1">
        <v>45485</v>
      </c>
      <c r="D50" t="s">
        <v>630</v>
      </c>
      <c r="E50">
        <f ca="1">DATEDIF(entretiens[[#This Row],[Date dernier entretien]], TODAY(), "M")</f>
        <v>22</v>
      </c>
      <c r="F50" t="str">
        <f ca="1">IF(entretiens[[#This Row],[Mois depuis entretien]] &gt; 12, "À contrôler", "")</f>
        <v>À contrôler</v>
      </c>
    </row>
    <row r="51" spans="1:6" x14ac:dyDescent="0.25">
      <c r="A51" t="s">
        <v>162</v>
      </c>
      <c r="B51" t="s">
        <v>38</v>
      </c>
      <c r="C51" s="1">
        <v>45301</v>
      </c>
      <c r="D51" t="s">
        <v>630</v>
      </c>
      <c r="E51">
        <f ca="1">DATEDIF(entretiens[[#This Row],[Date dernier entretien]], TODAY(), "M")</f>
        <v>28</v>
      </c>
      <c r="F51" t="str">
        <f ca="1">IF(entretiens[[#This Row],[Mois depuis entretien]] &gt; 12, "À contrôler", "")</f>
        <v>À contrôler</v>
      </c>
    </row>
    <row r="52" spans="1:6" x14ac:dyDescent="0.25">
      <c r="A52" t="s">
        <v>164</v>
      </c>
      <c r="B52" t="s">
        <v>38</v>
      </c>
      <c r="C52" s="1">
        <v>45271</v>
      </c>
      <c r="D52" t="s">
        <v>630</v>
      </c>
      <c r="E52">
        <f ca="1">DATEDIF(entretiens[[#This Row],[Date dernier entretien]], TODAY(), "M")</f>
        <v>29</v>
      </c>
      <c r="F52" t="str">
        <f ca="1">IF(entretiens[[#This Row],[Mois depuis entretien]] &gt; 12, "À contrôler", "")</f>
        <v>À contrôler</v>
      </c>
    </row>
    <row r="53" spans="1:6" x14ac:dyDescent="0.25">
      <c r="A53" t="s">
        <v>166</v>
      </c>
      <c r="B53" t="s">
        <v>21</v>
      </c>
      <c r="C53" s="1">
        <v>45350</v>
      </c>
      <c r="D53" t="s">
        <v>630</v>
      </c>
      <c r="E53">
        <f ca="1">DATEDIF(entretiens[[#This Row],[Date dernier entretien]], TODAY(), "M")</f>
        <v>26</v>
      </c>
      <c r="F53" t="str">
        <f ca="1">IF(entretiens[[#This Row],[Mois depuis entretien]] &gt; 12, "À contrôler", "")</f>
        <v>À contrôler</v>
      </c>
    </row>
    <row r="54" spans="1:6" x14ac:dyDescent="0.25">
      <c r="A54" t="s">
        <v>169</v>
      </c>
      <c r="B54" t="s">
        <v>49</v>
      </c>
      <c r="C54" s="1">
        <v>45087</v>
      </c>
      <c r="D54" t="s">
        <v>631</v>
      </c>
      <c r="E54">
        <f ca="1">DATEDIF(entretiens[[#This Row],[Date dernier entretien]], TODAY(), "M")</f>
        <v>35</v>
      </c>
      <c r="F54" t="str">
        <f ca="1">IF(entretiens[[#This Row],[Mois depuis entretien]] &gt; 12, "À contrôler", "")</f>
        <v>À contrôler</v>
      </c>
    </row>
    <row r="55" spans="1:6" x14ac:dyDescent="0.25">
      <c r="A55" t="s">
        <v>171</v>
      </c>
      <c r="B55" t="s">
        <v>49</v>
      </c>
      <c r="C55" s="1">
        <v>45264</v>
      </c>
      <c r="D55" t="s">
        <v>634</v>
      </c>
      <c r="E55">
        <f ca="1">DATEDIF(entretiens[[#This Row],[Date dernier entretien]], TODAY(), "M")</f>
        <v>29</v>
      </c>
      <c r="F55" t="str">
        <f ca="1">IF(entretiens[[#This Row],[Mois depuis entretien]] &gt; 12, "À contrôler", "")</f>
        <v>À contrôler</v>
      </c>
    </row>
    <row r="56" spans="1:6" x14ac:dyDescent="0.25">
      <c r="A56" t="s">
        <v>174</v>
      </c>
      <c r="B56" t="s">
        <v>34</v>
      </c>
      <c r="C56" s="1">
        <v>45653</v>
      </c>
      <c r="D56" t="s">
        <v>632</v>
      </c>
      <c r="E56">
        <f ca="1">DATEDIF(entretiens[[#This Row],[Date dernier entretien]], TODAY(), "M")</f>
        <v>16</v>
      </c>
      <c r="F56" t="str">
        <f ca="1">IF(entretiens[[#This Row],[Mois depuis entretien]] &gt; 12, "À contrôler", "")</f>
        <v>À contrôler</v>
      </c>
    </row>
    <row r="57" spans="1:6" x14ac:dyDescent="0.25">
      <c r="A57" t="s">
        <v>177</v>
      </c>
      <c r="B57" t="s">
        <v>49</v>
      </c>
      <c r="C57" s="1">
        <v>45295</v>
      </c>
      <c r="D57" t="s">
        <v>632</v>
      </c>
      <c r="E57">
        <f ca="1">DATEDIF(entretiens[[#This Row],[Date dernier entretien]], TODAY(), "M")</f>
        <v>28</v>
      </c>
      <c r="F57" t="str">
        <f ca="1">IF(entretiens[[#This Row],[Mois depuis entretien]] &gt; 12, "À contrôler", "")</f>
        <v>À contrôler</v>
      </c>
    </row>
    <row r="58" spans="1:6" x14ac:dyDescent="0.25">
      <c r="A58" t="s">
        <v>179</v>
      </c>
      <c r="B58" t="s">
        <v>38</v>
      </c>
      <c r="C58" s="1">
        <v>45088</v>
      </c>
      <c r="D58" t="s">
        <v>634</v>
      </c>
      <c r="E58">
        <f ca="1">DATEDIF(entretiens[[#This Row],[Date dernier entretien]], TODAY(), "M")</f>
        <v>35</v>
      </c>
      <c r="F58" t="str">
        <f ca="1">IF(entretiens[[#This Row],[Mois depuis entretien]] &gt; 12, "À contrôler", "")</f>
        <v>À contrôler</v>
      </c>
    </row>
    <row r="59" spans="1:6" x14ac:dyDescent="0.25">
      <c r="A59" t="s">
        <v>182</v>
      </c>
      <c r="B59" t="s">
        <v>15</v>
      </c>
      <c r="C59" s="1">
        <v>45545</v>
      </c>
      <c r="D59" t="s">
        <v>631</v>
      </c>
      <c r="E59">
        <f ca="1">DATEDIF(entretiens[[#This Row],[Date dernier entretien]], TODAY(), "M")</f>
        <v>20</v>
      </c>
      <c r="F59" t="str">
        <f ca="1">IF(entretiens[[#This Row],[Mois depuis entretien]] &gt; 12, "À contrôler", "")</f>
        <v>À contrôler</v>
      </c>
    </row>
    <row r="60" spans="1:6" x14ac:dyDescent="0.25">
      <c r="A60" t="s">
        <v>185</v>
      </c>
      <c r="B60" t="s">
        <v>15</v>
      </c>
      <c r="C60" s="1">
        <v>45352</v>
      </c>
      <c r="D60" t="s">
        <v>630</v>
      </c>
      <c r="E60">
        <f ca="1">DATEDIF(entretiens[[#This Row],[Date dernier entretien]], TODAY(), "M")</f>
        <v>26</v>
      </c>
      <c r="F60" t="str">
        <f ca="1">IF(entretiens[[#This Row],[Mois depuis entretien]] &gt; 12, "À contrôler", "")</f>
        <v>À contrôler</v>
      </c>
    </row>
    <row r="61" spans="1:6" x14ac:dyDescent="0.25">
      <c r="A61" t="s">
        <v>188</v>
      </c>
      <c r="B61" t="s">
        <v>34</v>
      </c>
      <c r="C61" s="1">
        <v>45464</v>
      </c>
      <c r="D61" t="s">
        <v>634</v>
      </c>
      <c r="E61">
        <f ca="1">DATEDIF(entretiens[[#This Row],[Date dernier entretien]], TODAY(), "M")</f>
        <v>23</v>
      </c>
      <c r="F61" t="str">
        <f ca="1">IF(entretiens[[#This Row],[Mois depuis entretien]] &gt; 12, "À contrôler", "")</f>
        <v>À contrôler</v>
      </c>
    </row>
    <row r="62" spans="1:6" x14ac:dyDescent="0.25">
      <c r="A62" t="s">
        <v>191</v>
      </c>
      <c r="B62" t="s">
        <v>21</v>
      </c>
      <c r="C62" s="1">
        <v>45550</v>
      </c>
      <c r="D62" t="s">
        <v>633</v>
      </c>
      <c r="E62">
        <f ca="1">DATEDIF(entretiens[[#This Row],[Date dernier entretien]], TODAY(), "M")</f>
        <v>20</v>
      </c>
      <c r="F62" t="str">
        <f ca="1">IF(entretiens[[#This Row],[Mois depuis entretien]] &gt; 12, "À contrôler", "")</f>
        <v>À contrôler</v>
      </c>
    </row>
    <row r="63" spans="1:6" x14ac:dyDescent="0.25">
      <c r="A63" t="s">
        <v>193</v>
      </c>
      <c r="B63" t="s">
        <v>15</v>
      </c>
      <c r="C63" s="1">
        <v>45145</v>
      </c>
      <c r="D63" t="s">
        <v>630</v>
      </c>
      <c r="E63">
        <f ca="1">DATEDIF(entretiens[[#This Row],[Date dernier entretien]], TODAY(), "M")</f>
        <v>33</v>
      </c>
      <c r="F63" t="str">
        <f ca="1">IF(entretiens[[#This Row],[Mois depuis entretien]] &gt; 12, "À contrôler", "")</f>
        <v>À contrôler</v>
      </c>
    </row>
    <row r="64" spans="1:6" x14ac:dyDescent="0.25">
      <c r="A64" t="s">
        <v>196</v>
      </c>
      <c r="B64" t="s">
        <v>38</v>
      </c>
      <c r="C64" s="1">
        <v>45323</v>
      </c>
      <c r="D64" t="s">
        <v>632</v>
      </c>
      <c r="E64">
        <f ca="1">DATEDIF(entretiens[[#This Row],[Date dernier entretien]], TODAY(), "M")</f>
        <v>27</v>
      </c>
      <c r="F64" t="str">
        <f ca="1">IF(entretiens[[#This Row],[Mois depuis entretien]] &gt; 12, "À contrôler", "")</f>
        <v>À contrôler</v>
      </c>
    </row>
    <row r="65" spans="1:6" x14ac:dyDescent="0.25">
      <c r="A65" t="s">
        <v>199</v>
      </c>
      <c r="B65" t="s">
        <v>25</v>
      </c>
      <c r="C65" s="1">
        <v>45327</v>
      </c>
      <c r="D65" t="s">
        <v>633</v>
      </c>
      <c r="E65">
        <f ca="1">DATEDIF(entretiens[[#This Row],[Date dernier entretien]], TODAY(), "M")</f>
        <v>27</v>
      </c>
      <c r="F65" t="str">
        <f ca="1">IF(entretiens[[#This Row],[Mois depuis entretien]] &gt; 12, "À contrôler", "")</f>
        <v>À contrôler</v>
      </c>
    </row>
    <row r="66" spans="1:6" x14ac:dyDescent="0.25">
      <c r="A66" t="s">
        <v>202</v>
      </c>
      <c r="B66" t="s">
        <v>15</v>
      </c>
      <c r="C66" s="1">
        <v>45268</v>
      </c>
      <c r="D66" t="s">
        <v>633</v>
      </c>
      <c r="E66">
        <f ca="1">DATEDIF(entretiens[[#This Row],[Date dernier entretien]], TODAY(), "M")</f>
        <v>29</v>
      </c>
      <c r="F66" t="str">
        <f ca="1">IF(entretiens[[#This Row],[Mois depuis entretien]] &gt; 12, "À contrôler", "")</f>
        <v>À contrôler</v>
      </c>
    </row>
    <row r="67" spans="1:6" x14ac:dyDescent="0.25">
      <c r="A67" t="s">
        <v>205</v>
      </c>
      <c r="B67" t="s">
        <v>25</v>
      </c>
      <c r="C67" s="1">
        <v>45410</v>
      </c>
      <c r="D67" t="s">
        <v>630</v>
      </c>
      <c r="E67">
        <f ca="1">DATEDIF(entretiens[[#This Row],[Date dernier entretien]], TODAY(), "M")</f>
        <v>24</v>
      </c>
      <c r="F67" t="str">
        <f ca="1">IF(entretiens[[#This Row],[Mois depuis entretien]] &gt; 12, "À contrôler", "")</f>
        <v>À contrôler</v>
      </c>
    </row>
    <row r="68" spans="1:6" x14ac:dyDescent="0.25">
      <c r="A68" t="s">
        <v>207</v>
      </c>
      <c r="B68" t="s">
        <v>25</v>
      </c>
      <c r="C68" s="1">
        <v>45466</v>
      </c>
      <c r="D68" t="s">
        <v>630</v>
      </c>
      <c r="E68">
        <f ca="1">DATEDIF(entretiens[[#This Row],[Date dernier entretien]], TODAY(), "M")</f>
        <v>23</v>
      </c>
      <c r="F68" t="str">
        <f ca="1">IF(entretiens[[#This Row],[Mois depuis entretien]] &gt; 12, "À contrôler", "")</f>
        <v>À contrôler</v>
      </c>
    </row>
    <row r="69" spans="1:6" x14ac:dyDescent="0.25">
      <c r="A69" t="s">
        <v>210</v>
      </c>
      <c r="B69" t="s">
        <v>25</v>
      </c>
      <c r="C69" s="1">
        <v>45186</v>
      </c>
      <c r="D69" t="s">
        <v>631</v>
      </c>
      <c r="E69">
        <f ca="1">DATEDIF(entretiens[[#This Row],[Date dernier entretien]], TODAY(), "M")</f>
        <v>32</v>
      </c>
      <c r="F69" t="str">
        <f ca="1">IF(entretiens[[#This Row],[Mois depuis entretien]] &gt; 12, "À contrôler", "")</f>
        <v>À contrôler</v>
      </c>
    </row>
    <row r="70" spans="1:6" x14ac:dyDescent="0.25">
      <c r="A70" t="s">
        <v>212</v>
      </c>
      <c r="B70" t="s">
        <v>21</v>
      </c>
      <c r="C70" s="1">
        <v>45478</v>
      </c>
      <c r="D70" t="s">
        <v>633</v>
      </c>
      <c r="E70">
        <f ca="1">DATEDIF(entretiens[[#This Row],[Date dernier entretien]], TODAY(), "M")</f>
        <v>22</v>
      </c>
      <c r="F70" t="str">
        <f ca="1">IF(entretiens[[#This Row],[Mois depuis entretien]] &gt; 12, "À contrôler", "")</f>
        <v>À contrôler</v>
      </c>
    </row>
    <row r="71" spans="1:6" x14ac:dyDescent="0.25">
      <c r="A71" t="s">
        <v>214</v>
      </c>
      <c r="B71" t="s">
        <v>34</v>
      </c>
      <c r="C71" s="1">
        <v>45504</v>
      </c>
      <c r="D71" t="s">
        <v>631</v>
      </c>
      <c r="E71">
        <f ca="1">DATEDIF(entretiens[[#This Row],[Date dernier entretien]], TODAY(), "M")</f>
        <v>21</v>
      </c>
      <c r="F71" t="str">
        <f ca="1">IF(entretiens[[#This Row],[Mois depuis entretien]] &gt; 12, "À contrôler", "")</f>
        <v>À contrôler</v>
      </c>
    </row>
    <row r="72" spans="1:6" x14ac:dyDescent="0.25">
      <c r="A72" t="s">
        <v>217</v>
      </c>
      <c r="B72" t="s">
        <v>15</v>
      </c>
      <c r="C72" s="1">
        <v>45538</v>
      </c>
      <c r="D72" t="s">
        <v>630</v>
      </c>
      <c r="E72">
        <f ca="1">DATEDIF(entretiens[[#This Row],[Date dernier entretien]], TODAY(), "M")</f>
        <v>20</v>
      </c>
      <c r="F72" t="str">
        <f ca="1">IF(entretiens[[#This Row],[Mois depuis entretien]] &gt; 12, "À contrôler", "")</f>
        <v>À contrôler</v>
      </c>
    </row>
    <row r="73" spans="1:6" x14ac:dyDescent="0.25">
      <c r="A73" t="s">
        <v>220</v>
      </c>
      <c r="B73" t="s">
        <v>38</v>
      </c>
      <c r="C73" s="1">
        <v>45566</v>
      </c>
      <c r="D73" t="s">
        <v>632</v>
      </c>
      <c r="E73">
        <f ca="1">DATEDIF(entretiens[[#This Row],[Date dernier entretien]], TODAY(), "M")</f>
        <v>19</v>
      </c>
      <c r="F73" t="str">
        <f ca="1">IF(entretiens[[#This Row],[Mois depuis entretien]] &gt; 12, "À contrôler", "")</f>
        <v>À contrôler</v>
      </c>
    </row>
    <row r="74" spans="1:6" x14ac:dyDescent="0.25">
      <c r="A74" t="s">
        <v>223</v>
      </c>
      <c r="B74" t="s">
        <v>25</v>
      </c>
      <c r="C74" s="1">
        <v>45538</v>
      </c>
      <c r="D74" t="s">
        <v>630</v>
      </c>
      <c r="E74">
        <f ca="1">DATEDIF(entretiens[[#This Row],[Date dernier entretien]], TODAY(), "M")</f>
        <v>20</v>
      </c>
      <c r="F74" t="str">
        <f ca="1">IF(entretiens[[#This Row],[Mois depuis entretien]] &gt; 12, "À contrôler", "")</f>
        <v>À contrôler</v>
      </c>
    </row>
    <row r="75" spans="1:6" x14ac:dyDescent="0.25">
      <c r="A75" t="s">
        <v>225</v>
      </c>
      <c r="B75" t="s">
        <v>34</v>
      </c>
      <c r="C75" s="1">
        <v>45816</v>
      </c>
      <c r="D75" t="s">
        <v>632</v>
      </c>
      <c r="E75">
        <f ca="1">DATEDIF(entretiens[[#This Row],[Date dernier entretien]], TODAY(), "M")</f>
        <v>11</v>
      </c>
      <c r="F75" t="str">
        <f ca="1">IF(entretiens[[#This Row],[Mois depuis entretien]] &gt; 12, "À contrôler", "")</f>
        <v/>
      </c>
    </row>
    <row r="76" spans="1:6" x14ac:dyDescent="0.25">
      <c r="A76" t="s">
        <v>227</v>
      </c>
      <c r="B76" t="s">
        <v>38</v>
      </c>
      <c r="C76" s="1">
        <v>45217</v>
      </c>
      <c r="D76" t="s">
        <v>631</v>
      </c>
      <c r="E76">
        <f ca="1">DATEDIF(entretiens[[#This Row],[Date dernier entretien]], TODAY(), "M")</f>
        <v>31</v>
      </c>
      <c r="F76" t="str">
        <f ca="1">IF(entretiens[[#This Row],[Mois depuis entretien]] &gt; 12, "À contrôler", "")</f>
        <v>À contrôler</v>
      </c>
    </row>
    <row r="77" spans="1:6" x14ac:dyDescent="0.25">
      <c r="A77" t="s">
        <v>228</v>
      </c>
      <c r="B77" t="s">
        <v>25</v>
      </c>
      <c r="C77" s="1">
        <v>45357</v>
      </c>
      <c r="D77" t="s">
        <v>633</v>
      </c>
      <c r="E77">
        <f ca="1">DATEDIF(entretiens[[#This Row],[Date dernier entretien]], TODAY(), "M")</f>
        <v>26</v>
      </c>
      <c r="F77" t="str">
        <f ca="1">IF(entretiens[[#This Row],[Mois depuis entretien]] &gt; 12, "À contrôler", "")</f>
        <v>À contrôler</v>
      </c>
    </row>
    <row r="78" spans="1:6" x14ac:dyDescent="0.25">
      <c r="A78" t="s">
        <v>231</v>
      </c>
      <c r="B78" t="s">
        <v>25</v>
      </c>
      <c r="C78" s="1">
        <v>45304</v>
      </c>
      <c r="D78" t="s">
        <v>633</v>
      </c>
      <c r="E78">
        <f ca="1">DATEDIF(entretiens[[#This Row],[Date dernier entretien]], TODAY(), "M")</f>
        <v>28</v>
      </c>
      <c r="F78" t="str">
        <f ca="1">IF(entretiens[[#This Row],[Mois depuis entretien]] &gt; 12, "À contrôler", "")</f>
        <v>À contrôler</v>
      </c>
    </row>
    <row r="79" spans="1:6" x14ac:dyDescent="0.25">
      <c r="A79" t="s">
        <v>234</v>
      </c>
      <c r="B79" t="s">
        <v>15</v>
      </c>
      <c r="C79" s="1">
        <v>45712</v>
      </c>
      <c r="D79" t="s">
        <v>630</v>
      </c>
      <c r="E79">
        <f ca="1">DATEDIF(entretiens[[#This Row],[Date dernier entretien]], TODAY(), "M")</f>
        <v>15</v>
      </c>
      <c r="F79" t="str">
        <f ca="1">IF(entretiens[[#This Row],[Mois depuis entretien]] &gt; 12, "À contrôler", "")</f>
        <v>À contrôler</v>
      </c>
    </row>
    <row r="80" spans="1:6" x14ac:dyDescent="0.25">
      <c r="A80" t="s">
        <v>237</v>
      </c>
      <c r="B80" t="s">
        <v>15</v>
      </c>
      <c r="C80" s="1">
        <v>45388</v>
      </c>
      <c r="D80" t="s">
        <v>634</v>
      </c>
      <c r="E80">
        <f ca="1">DATEDIF(entretiens[[#This Row],[Date dernier entretien]], TODAY(), "M")</f>
        <v>25</v>
      </c>
      <c r="F80" t="str">
        <f ca="1">IF(entretiens[[#This Row],[Mois depuis entretien]] &gt; 12, "À contrôler", "")</f>
        <v>À contrôler</v>
      </c>
    </row>
    <row r="81" spans="1:6" x14ac:dyDescent="0.25">
      <c r="A81" t="s">
        <v>238</v>
      </c>
      <c r="B81" t="s">
        <v>21</v>
      </c>
      <c r="C81" s="1">
        <v>45235</v>
      </c>
      <c r="D81" t="s">
        <v>633</v>
      </c>
      <c r="E81">
        <f ca="1">DATEDIF(entretiens[[#This Row],[Date dernier entretien]], TODAY(), "M")</f>
        <v>30</v>
      </c>
      <c r="F81" t="str">
        <f ca="1">IF(entretiens[[#This Row],[Mois depuis entretien]] &gt; 12, "À contrôler", "")</f>
        <v>À contrôler</v>
      </c>
    </row>
    <row r="82" spans="1:6" x14ac:dyDescent="0.25">
      <c r="A82" t="s">
        <v>240</v>
      </c>
      <c r="B82" t="s">
        <v>34</v>
      </c>
      <c r="C82" s="1">
        <v>45100</v>
      </c>
      <c r="D82" t="s">
        <v>634</v>
      </c>
      <c r="E82">
        <f ca="1">DATEDIF(entretiens[[#This Row],[Date dernier entretien]], TODAY(), "M")</f>
        <v>35</v>
      </c>
      <c r="F82" t="str">
        <f ca="1">IF(entretiens[[#This Row],[Mois depuis entretien]] &gt; 12, "À contrôler", "")</f>
        <v>À contrôler</v>
      </c>
    </row>
    <row r="83" spans="1:6" x14ac:dyDescent="0.25">
      <c r="A83" t="s">
        <v>243</v>
      </c>
      <c r="B83" t="s">
        <v>49</v>
      </c>
      <c r="C83" s="1">
        <v>45336</v>
      </c>
      <c r="D83" t="s">
        <v>630</v>
      </c>
      <c r="E83">
        <f ca="1">DATEDIF(entretiens[[#This Row],[Date dernier entretien]], TODAY(), "M")</f>
        <v>27</v>
      </c>
      <c r="F83" t="str">
        <f ca="1">IF(entretiens[[#This Row],[Mois depuis entretien]] &gt; 12, "À contrôler", "")</f>
        <v>À contrôler</v>
      </c>
    </row>
    <row r="84" spans="1:6" x14ac:dyDescent="0.25">
      <c r="A84" t="s">
        <v>246</v>
      </c>
      <c r="B84" t="s">
        <v>25</v>
      </c>
      <c r="C84" s="1">
        <v>45578</v>
      </c>
      <c r="D84" t="s">
        <v>634</v>
      </c>
      <c r="E84">
        <f ca="1">DATEDIF(entretiens[[#This Row],[Date dernier entretien]], TODAY(), "M")</f>
        <v>19</v>
      </c>
      <c r="F84" t="str">
        <f ca="1">IF(entretiens[[#This Row],[Mois depuis entretien]] &gt; 12, "À contrôler", "")</f>
        <v>À contrôler</v>
      </c>
    </row>
    <row r="85" spans="1:6" x14ac:dyDescent="0.25">
      <c r="A85" t="s">
        <v>249</v>
      </c>
      <c r="B85" t="s">
        <v>21</v>
      </c>
      <c r="C85" s="1">
        <v>45595</v>
      </c>
      <c r="D85" t="s">
        <v>633</v>
      </c>
      <c r="E85">
        <f ca="1">DATEDIF(entretiens[[#This Row],[Date dernier entretien]], TODAY(), "M")</f>
        <v>18</v>
      </c>
      <c r="F85" t="str">
        <f ca="1">IF(entretiens[[#This Row],[Mois depuis entretien]] &gt; 12, "À contrôler", "")</f>
        <v>À contrôler</v>
      </c>
    </row>
    <row r="86" spans="1:6" x14ac:dyDescent="0.25">
      <c r="A86" t="s">
        <v>252</v>
      </c>
      <c r="B86" t="s">
        <v>15</v>
      </c>
      <c r="C86" s="1">
        <v>45560</v>
      </c>
      <c r="D86" t="s">
        <v>631</v>
      </c>
      <c r="E86">
        <f ca="1">DATEDIF(entretiens[[#This Row],[Date dernier entretien]], TODAY(), "M")</f>
        <v>20</v>
      </c>
      <c r="F86" t="str">
        <f ca="1">IF(entretiens[[#This Row],[Mois depuis entretien]] &gt; 12, "À contrôler", "")</f>
        <v>À contrôler</v>
      </c>
    </row>
    <row r="87" spans="1:6" x14ac:dyDescent="0.25">
      <c r="A87" t="s">
        <v>255</v>
      </c>
      <c r="B87" t="s">
        <v>25</v>
      </c>
      <c r="C87" s="1">
        <v>45536</v>
      </c>
      <c r="D87" t="s">
        <v>631</v>
      </c>
      <c r="E87">
        <f ca="1">DATEDIF(entretiens[[#This Row],[Date dernier entretien]], TODAY(), "M")</f>
        <v>20</v>
      </c>
      <c r="F87" t="str">
        <f ca="1">IF(entretiens[[#This Row],[Mois depuis entretien]] &gt; 12, "À contrôler", "")</f>
        <v>À contrôler</v>
      </c>
    </row>
    <row r="88" spans="1:6" x14ac:dyDescent="0.25">
      <c r="A88" t="s">
        <v>258</v>
      </c>
      <c r="B88" t="s">
        <v>38</v>
      </c>
      <c r="C88" s="1">
        <v>45352</v>
      </c>
      <c r="D88" t="s">
        <v>631</v>
      </c>
      <c r="E88">
        <f ca="1">DATEDIF(entretiens[[#This Row],[Date dernier entretien]], TODAY(), "M")</f>
        <v>26</v>
      </c>
      <c r="F88" t="str">
        <f ca="1">IF(entretiens[[#This Row],[Mois depuis entretien]] &gt; 12, "À contrôler", "")</f>
        <v>À contrôler</v>
      </c>
    </row>
    <row r="89" spans="1:6" x14ac:dyDescent="0.25">
      <c r="A89" t="s">
        <v>261</v>
      </c>
      <c r="B89" t="s">
        <v>15</v>
      </c>
      <c r="C89" s="1">
        <v>45790</v>
      </c>
      <c r="D89" t="s">
        <v>633</v>
      </c>
      <c r="E89">
        <f ca="1">DATEDIF(entretiens[[#This Row],[Date dernier entretien]], TODAY(), "M")</f>
        <v>12</v>
      </c>
      <c r="F89" t="str">
        <f ca="1">IF(entretiens[[#This Row],[Mois depuis entretien]] &gt; 12, "À contrôler", "")</f>
        <v/>
      </c>
    </row>
    <row r="90" spans="1:6" x14ac:dyDescent="0.25">
      <c r="A90" t="s">
        <v>263</v>
      </c>
      <c r="B90" t="s">
        <v>49</v>
      </c>
      <c r="C90" s="1">
        <v>45547</v>
      </c>
      <c r="D90" t="s">
        <v>631</v>
      </c>
      <c r="E90">
        <f ca="1">DATEDIF(entretiens[[#This Row],[Date dernier entretien]], TODAY(), "M")</f>
        <v>20</v>
      </c>
      <c r="F90" t="str">
        <f ca="1">IF(entretiens[[#This Row],[Mois depuis entretien]] &gt; 12, "À contrôler", "")</f>
        <v>À contrôler</v>
      </c>
    </row>
    <row r="91" spans="1:6" x14ac:dyDescent="0.25">
      <c r="A91" t="s">
        <v>265</v>
      </c>
      <c r="B91" t="s">
        <v>38</v>
      </c>
      <c r="C91" s="1">
        <v>45605</v>
      </c>
      <c r="D91" t="s">
        <v>634</v>
      </c>
      <c r="E91">
        <f ca="1">DATEDIF(entretiens[[#This Row],[Date dernier entretien]], TODAY(), "M")</f>
        <v>18</v>
      </c>
      <c r="F91" t="str">
        <f ca="1">IF(entretiens[[#This Row],[Mois depuis entretien]] &gt; 12, "À contrôler", "")</f>
        <v>À contrôler</v>
      </c>
    </row>
    <row r="92" spans="1:6" x14ac:dyDescent="0.25">
      <c r="A92" t="s">
        <v>267</v>
      </c>
      <c r="B92" t="s">
        <v>49</v>
      </c>
      <c r="C92" s="1">
        <v>45235</v>
      </c>
      <c r="D92" t="s">
        <v>631</v>
      </c>
      <c r="E92">
        <f ca="1">DATEDIF(entretiens[[#This Row],[Date dernier entretien]], TODAY(), "M")</f>
        <v>30</v>
      </c>
      <c r="F92" t="str">
        <f ca="1">IF(entretiens[[#This Row],[Mois depuis entretien]] &gt; 12, "À contrôler", "")</f>
        <v>À contrôler</v>
      </c>
    </row>
    <row r="93" spans="1:6" x14ac:dyDescent="0.25">
      <c r="A93" t="s">
        <v>269</v>
      </c>
      <c r="B93" t="s">
        <v>25</v>
      </c>
      <c r="C93" s="1">
        <v>45675</v>
      </c>
      <c r="D93" t="s">
        <v>634</v>
      </c>
      <c r="E93">
        <f ca="1">DATEDIF(entretiens[[#This Row],[Date dernier entretien]], TODAY(), "M")</f>
        <v>16</v>
      </c>
      <c r="F93" t="str">
        <f ca="1">IF(entretiens[[#This Row],[Mois depuis entretien]] &gt; 12, "À contrôler", "")</f>
        <v>À contrôler</v>
      </c>
    </row>
    <row r="94" spans="1:6" x14ac:dyDescent="0.25">
      <c r="A94" t="s">
        <v>270</v>
      </c>
      <c r="B94" t="s">
        <v>34</v>
      </c>
      <c r="C94" s="1">
        <v>45794</v>
      </c>
      <c r="D94" t="s">
        <v>631</v>
      </c>
      <c r="E94">
        <f ca="1">DATEDIF(entretiens[[#This Row],[Date dernier entretien]], TODAY(), "M")</f>
        <v>12</v>
      </c>
      <c r="F94" t="str">
        <f ca="1">IF(entretiens[[#This Row],[Mois depuis entretien]] &gt; 12, "À contrôler", "")</f>
        <v/>
      </c>
    </row>
    <row r="95" spans="1:6" x14ac:dyDescent="0.25">
      <c r="A95" t="s">
        <v>273</v>
      </c>
      <c r="B95" t="s">
        <v>49</v>
      </c>
      <c r="C95" s="1">
        <v>45410</v>
      </c>
      <c r="D95" t="s">
        <v>631</v>
      </c>
      <c r="E95">
        <f ca="1">DATEDIF(entretiens[[#This Row],[Date dernier entretien]], TODAY(), "M")</f>
        <v>24</v>
      </c>
      <c r="F95" t="str">
        <f ca="1">IF(entretiens[[#This Row],[Mois depuis entretien]] &gt; 12, "À contrôler", "")</f>
        <v>À contrôler</v>
      </c>
    </row>
    <row r="96" spans="1:6" x14ac:dyDescent="0.25">
      <c r="A96" t="s">
        <v>275</v>
      </c>
      <c r="B96" t="s">
        <v>21</v>
      </c>
      <c r="C96" s="1">
        <v>45217</v>
      </c>
      <c r="D96" t="s">
        <v>634</v>
      </c>
      <c r="E96">
        <f ca="1">DATEDIF(entretiens[[#This Row],[Date dernier entretien]], TODAY(), "M")</f>
        <v>31</v>
      </c>
      <c r="F96" t="str">
        <f ca="1">IF(entretiens[[#This Row],[Mois depuis entretien]] &gt; 12, "À contrôler", "")</f>
        <v>À contrôler</v>
      </c>
    </row>
    <row r="97" spans="1:6" x14ac:dyDescent="0.25">
      <c r="A97" t="s">
        <v>277</v>
      </c>
      <c r="B97" t="s">
        <v>38</v>
      </c>
      <c r="C97" s="1">
        <v>45799</v>
      </c>
      <c r="D97" t="s">
        <v>630</v>
      </c>
      <c r="E97">
        <f ca="1">DATEDIF(entretiens[[#This Row],[Date dernier entretien]], TODAY(), "M")</f>
        <v>12</v>
      </c>
      <c r="F97" t="str">
        <f ca="1">IF(entretiens[[#This Row],[Mois depuis entretien]] &gt; 12, "À contrôler", "")</f>
        <v/>
      </c>
    </row>
    <row r="98" spans="1:6" x14ac:dyDescent="0.25">
      <c r="A98" t="s">
        <v>280</v>
      </c>
      <c r="B98" t="s">
        <v>21</v>
      </c>
      <c r="C98" s="1">
        <v>45795</v>
      </c>
      <c r="D98" t="s">
        <v>633</v>
      </c>
      <c r="E98">
        <f ca="1">DATEDIF(entretiens[[#This Row],[Date dernier entretien]], TODAY(), "M")</f>
        <v>12</v>
      </c>
      <c r="F98" t="str">
        <f ca="1">IF(entretiens[[#This Row],[Mois depuis entretien]] &gt; 12, "À contrôler", "")</f>
        <v/>
      </c>
    </row>
    <row r="99" spans="1:6" x14ac:dyDescent="0.25">
      <c r="A99" t="s">
        <v>283</v>
      </c>
      <c r="B99" t="s">
        <v>38</v>
      </c>
      <c r="C99" s="1">
        <v>45762</v>
      </c>
      <c r="D99" t="s">
        <v>633</v>
      </c>
      <c r="E99">
        <f ca="1">DATEDIF(entretiens[[#This Row],[Date dernier entretien]], TODAY(), "M")</f>
        <v>13</v>
      </c>
      <c r="F99" t="str">
        <f ca="1">IF(entretiens[[#This Row],[Mois depuis entretien]] &gt; 12, "À contrôler", "")</f>
        <v>À contrôler</v>
      </c>
    </row>
    <row r="100" spans="1:6" x14ac:dyDescent="0.25">
      <c r="A100" t="s">
        <v>286</v>
      </c>
      <c r="B100" t="s">
        <v>15</v>
      </c>
      <c r="C100" s="1">
        <v>45570</v>
      </c>
      <c r="D100" t="s">
        <v>631</v>
      </c>
      <c r="E100">
        <f ca="1">DATEDIF(entretiens[[#This Row],[Date dernier entretien]], TODAY(), "M")</f>
        <v>19</v>
      </c>
      <c r="F100" t="str">
        <f ca="1">IF(entretiens[[#This Row],[Mois depuis entretien]] &gt; 12, "À contrôler", "")</f>
        <v>À contrôler</v>
      </c>
    </row>
    <row r="101" spans="1:6" x14ac:dyDescent="0.25">
      <c r="A101" t="s">
        <v>289</v>
      </c>
      <c r="B101" t="s">
        <v>34</v>
      </c>
      <c r="C101" s="1">
        <v>45201</v>
      </c>
      <c r="D101" t="s">
        <v>632</v>
      </c>
      <c r="E101">
        <f ca="1">DATEDIF(entretiens[[#This Row],[Date dernier entretien]], TODAY(), "M")</f>
        <v>31</v>
      </c>
      <c r="F101" t="str">
        <f ca="1">IF(entretiens[[#This Row],[Mois depuis entretien]] &gt; 12, "À contrôler", "")</f>
        <v>À contrôler</v>
      </c>
    </row>
    <row r="102" spans="1:6" x14ac:dyDescent="0.25">
      <c r="A102" t="s">
        <v>291</v>
      </c>
      <c r="B102" t="s">
        <v>34</v>
      </c>
      <c r="C102" s="1">
        <v>45696</v>
      </c>
      <c r="D102" t="s">
        <v>633</v>
      </c>
      <c r="E102">
        <f ca="1">DATEDIF(entretiens[[#This Row],[Date dernier entretien]], TODAY(), "M")</f>
        <v>15</v>
      </c>
      <c r="F102" t="str">
        <f ca="1">IF(entretiens[[#This Row],[Mois depuis entretien]] &gt; 12, "À contrôler", "")</f>
        <v>À contrôler</v>
      </c>
    </row>
    <row r="103" spans="1:6" x14ac:dyDescent="0.25">
      <c r="A103" t="s">
        <v>294</v>
      </c>
      <c r="B103" t="s">
        <v>38</v>
      </c>
      <c r="C103" s="1">
        <v>45731</v>
      </c>
      <c r="D103" t="s">
        <v>632</v>
      </c>
      <c r="E103">
        <f ca="1">DATEDIF(entretiens[[#This Row],[Date dernier entretien]], TODAY(), "M")</f>
        <v>14</v>
      </c>
      <c r="F103" t="str">
        <f ca="1">IF(entretiens[[#This Row],[Mois depuis entretien]] &gt; 12, "À contrôler", "")</f>
        <v>À contrôler</v>
      </c>
    </row>
    <row r="104" spans="1:6" x14ac:dyDescent="0.25">
      <c r="A104" t="s">
        <v>297</v>
      </c>
      <c r="B104" t="s">
        <v>49</v>
      </c>
      <c r="C104" s="1">
        <v>45703</v>
      </c>
      <c r="D104" t="s">
        <v>632</v>
      </c>
      <c r="E104">
        <f ca="1">DATEDIF(entretiens[[#This Row],[Date dernier entretien]], TODAY(), "M")</f>
        <v>15</v>
      </c>
      <c r="F104" t="str">
        <f ca="1">IF(entretiens[[#This Row],[Mois depuis entretien]] &gt; 12, "À contrôler", "")</f>
        <v>À contrôler</v>
      </c>
    </row>
    <row r="105" spans="1:6" x14ac:dyDescent="0.25">
      <c r="A105" t="s">
        <v>299</v>
      </c>
      <c r="B105" t="s">
        <v>21</v>
      </c>
      <c r="C105" s="1">
        <v>45714</v>
      </c>
      <c r="D105" t="s">
        <v>632</v>
      </c>
      <c r="E105">
        <f ca="1">DATEDIF(entretiens[[#This Row],[Date dernier entretien]], TODAY(), "M")</f>
        <v>14</v>
      </c>
      <c r="F105" t="str">
        <f ca="1">IF(entretiens[[#This Row],[Mois depuis entretien]] &gt; 12, "À contrôler", "")</f>
        <v>À contrôler</v>
      </c>
    </row>
    <row r="106" spans="1:6" x14ac:dyDescent="0.25">
      <c r="A106" t="s">
        <v>302</v>
      </c>
      <c r="B106" t="s">
        <v>49</v>
      </c>
      <c r="C106" s="1">
        <v>45171</v>
      </c>
      <c r="D106" t="s">
        <v>632</v>
      </c>
      <c r="E106">
        <f ca="1">DATEDIF(entretiens[[#This Row],[Date dernier entretien]], TODAY(), "M")</f>
        <v>32</v>
      </c>
      <c r="F106" t="str">
        <f ca="1">IF(entretiens[[#This Row],[Mois depuis entretien]] &gt; 12, "À contrôler", "")</f>
        <v>À contrôler</v>
      </c>
    </row>
    <row r="107" spans="1:6" x14ac:dyDescent="0.25">
      <c r="A107" t="s">
        <v>303</v>
      </c>
      <c r="B107" t="s">
        <v>34</v>
      </c>
      <c r="C107" s="1">
        <v>45514</v>
      </c>
      <c r="D107" t="s">
        <v>632</v>
      </c>
      <c r="E107">
        <f ca="1">DATEDIF(entretiens[[#This Row],[Date dernier entretien]], TODAY(), "M")</f>
        <v>21</v>
      </c>
      <c r="F107" t="str">
        <f ca="1">IF(entretiens[[#This Row],[Mois depuis entretien]] &gt; 12, "À contrôler", "")</f>
        <v>À contrôler</v>
      </c>
    </row>
    <row r="108" spans="1:6" x14ac:dyDescent="0.25">
      <c r="A108" t="s">
        <v>305</v>
      </c>
      <c r="B108" t="s">
        <v>34</v>
      </c>
      <c r="C108" s="1">
        <v>45575</v>
      </c>
      <c r="D108" t="s">
        <v>631</v>
      </c>
      <c r="E108">
        <f ca="1">DATEDIF(entretiens[[#This Row],[Date dernier entretien]], TODAY(), "M")</f>
        <v>19</v>
      </c>
      <c r="F108" t="str">
        <f ca="1">IF(entretiens[[#This Row],[Mois depuis entretien]] &gt; 12, "À contrôler", "")</f>
        <v>À contrôler</v>
      </c>
    </row>
    <row r="109" spans="1:6" x14ac:dyDescent="0.25">
      <c r="A109" t="s">
        <v>308</v>
      </c>
      <c r="B109" t="s">
        <v>38</v>
      </c>
      <c r="C109" s="1">
        <v>45241</v>
      </c>
      <c r="D109" t="s">
        <v>632</v>
      </c>
      <c r="E109">
        <f ca="1">DATEDIF(entretiens[[#This Row],[Date dernier entretien]], TODAY(), "M")</f>
        <v>30</v>
      </c>
      <c r="F109" t="str">
        <f ca="1">IF(entretiens[[#This Row],[Mois depuis entretien]] &gt; 12, "À contrôler", "")</f>
        <v>À contrôler</v>
      </c>
    </row>
    <row r="110" spans="1:6" x14ac:dyDescent="0.25">
      <c r="A110" t="s">
        <v>311</v>
      </c>
      <c r="B110" t="s">
        <v>49</v>
      </c>
      <c r="C110" s="1">
        <v>45359</v>
      </c>
      <c r="D110" t="s">
        <v>634</v>
      </c>
      <c r="E110">
        <f ca="1">DATEDIF(entretiens[[#This Row],[Date dernier entretien]], TODAY(), "M")</f>
        <v>26</v>
      </c>
      <c r="F110" t="str">
        <f ca="1">IF(entretiens[[#This Row],[Mois depuis entretien]] &gt; 12, "À contrôler", "")</f>
        <v>À contrôler</v>
      </c>
    </row>
    <row r="111" spans="1:6" x14ac:dyDescent="0.25">
      <c r="A111" t="s">
        <v>313</v>
      </c>
      <c r="B111" t="s">
        <v>25</v>
      </c>
      <c r="C111" s="1">
        <v>45219</v>
      </c>
      <c r="D111" t="s">
        <v>634</v>
      </c>
      <c r="E111">
        <f ca="1">DATEDIF(entretiens[[#This Row],[Date dernier entretien]], TODAY(), "M")</f>
        <v>31</v>
      </c>
      <c r="F111" t="str">
        <f ca="1">IF(entretiens[[#This Row],[Mois depuis entretien]] &gt; 12, "À contrôler", "")</f>
        <v>À contrôler</v>
      </c>
    </row>
    <row r="112" spans="1:6" x14ac:dyDescent="0.25">
      <c r="A112" t="s">
        <v>315</v>
      </c>
      <c r="B112" t="s">
        <v>38</v>
      </c>
      <c r="C112" s="1">
        <v>45303</v>
      </c>
      <c r="D112" t="s">
        <v>632</v>
      </c>
      <c r="E112">
        <f ca="1">DATEDIF(entretiens[[#This Row],[Date dernier entretien]], TODAY(), "M")</f>
        <v>28</v>
      </c>
      <c r="F112" t="str">
        <f ca="1">IF(entretiens[[#This Row],[Mois depuis entretien]] &gt; 12, "À contrôler", "")</f>
        <v>À contrôler</v>
      </c>
    </row>
    <row r="113" spans="1:6" x14ac:dyDescent="0.25">
      <c r="A113" t="s">
        <v>317</v>
      </c>
      <c r="B113" t="s">
        <v>21</v>
      </c>
      <c r="C113" s="1">
        <v>45600</v>
      </c>
      <c r="D113" t="s">
        <v>634</v>
      </c>
      <c r="E113">
        <f ca="1">DATEDIF(entretiens[[#This Row],[Date dernier entretien]], TODAY(), "M")</f>
        <v>18</v>
      </c>
      <c r="F113" t="str">
        <f ca="1">IF(entretiens[[#This Row],[Mois depuis entretien]] &gt; 12, "À contrôler", "")</f>
        <v>À contrôler</v>
      </c>
    </row>
    <row r="114" spans="1:6" x14ac:dyDescent="0.25">
      <c r="A114" t="s">
        <v>320</v>
      </c>
      <c r="B114" t="s">
        <v>38</v>
      </c>
      <c r="C114" s="1">
        <v>45727</v>
      </c>
      <c r="D114" t="s">
        <v>633</v>
      </c>
      <c r="E114">
        <f ca="1">DATEDIF(entretiens[[#This Row],[Date dernier entretien]], TODAY(), "M")</f>
        <v>14</v>
      </c>
      <c r="F114" t="str">
        <f ca="1">IF(entretiens[[#This Row],[Mois depuis entretien]] &gt; 12, "À contrôler", "")</f>
        <v>À contrôler</v>
      </c>
    </row>
    <row r="115" spans="1:6" x14ac:dyDescent="0.25">
      <c r="A115" t="s">
        <v>322</v>
      </c>
      <c r="B115" t="s">
        <v>25</v>
      </c>
      <c r="C115" s="1">
        <v>45627</v>
      </c>
      <c r="D115" t="s">
        <v>632</v>
      </c>
      <c r="E115">
        <f ca="1">DATEDIF(entretiens[[#This Row],[Date dernier entretien]], TODAY(), "M")</f>
        <v>17</v>
      </c>
      <c r="F115" t="str">
        <f ca="1">IF(entretiens[[#This Row],[Mois depuis entretien]] &gt; 12, "À contrôler", "")</f>
        <v>À contrôler</v>
      </c>
    </row>
    <row r="116" spans="1:6" x14ac:dyDescent="0.25">
      <c r="A116" t="s">
        <v>324</v>
      </c>
      <c r="B116" t="s">
        <v>21</v>
      </c>
      <c r="C116" s="1">
        <v>45703</v>
      </c>
      <c r="D116" t="s">
        <v>633</v>
      </c>
      <c r="E116">
        <f ca="1">DATEDIF(entretiens[[#This Row],[Date dernier entretien]], TODAY(), "M")</f>
        <v>15</v>
      </c>
      <c r="F116" t="str">
        <f ca="1">IF(entretiens[[#This Row],[Mois depuis entretien]] &gt; 12, "À contrôler", "")</f>
        <v>À contrôler</v>
      </c>
    </row>
    <row r="117" spans="1:6" x14ac:dyDescent="0.25">
      <c r="A117" t="s">
        <v>327</v>
      </c>
      <c r="B117" t="s">
        <v>21</v>
      </c>
      <c r="C117" s="1">
        <v>45805</v>
      </c>
      <c r="D117" t="s">
        <v>631</v>
      </c>
      <c r="E117">
        <f ca="1">DATEDIF(entretiens[[#This Row],[Date dernier entretien]], TODAY(), "M")</f>
        <v>11</v>
      </c>
      <c r="F117" t="str">
        <f ca="1">IF(entretiens[[#This Row],[Mois depuis entretien]] &gt; 12, "À contrôler", "")</f>
        <v/>
      </c>
    </row>
    <row r="118" spans="1:6" x14ac:dyDescent="0.25">
      <c r="A118" t="s">
        <v>330</v>
      </c>
      <c r="B118" t="s">
        <v>25</v>
      </c>
      <c r="C118" s="1">
        <v>45727</v>
      </c>
      <c r="D118" t="s">
        <v>631</v>
      </c>
      <c r="E118">
        <f ca="1">DATEDIF(entretiens[[#This Row],[Date dernier entretien]], TODAY(), "M")</f>
        <v>14</v>
      </c>
      <c r="F118" t="str">
        <f ca="1">IF(entretiens[[#This Row],[Mois depuis entretien]] &gt; 12, "À contrôler", "")</f>
        <v>À contrôler</v>
      </c>
    </row>
    <row r="119" spans="1:6" x14ac:dyDescent="0.25">
      <c r="A119" t="s">
        <v>331</v>
      </c>
      <c r="B119" t="s">
        <v>34</v>
      </c>
      <c r="C119" s="1">
        <v>45534</v>
      </c>
      <c r="D119" t="s">
        <v>632</v>
      </c>
      <c r="E119">
        <f ca="1">DATEDIF(entretiens[[#This Row],[Date dernier entretien]], TODAY(), "M")</f>
        <v>20</v>
      </c>
      <c r="F119" t="str">
        <f ca="1">IF(entretiens[[#This Row],[Mois depuis entretien]] &gt; 12, "À contrôler", "")</f>
        <v>À contrôler</v>
      </c>
    </row>
    <row r="120" spans="1:6" x14ac:dyDescent="0.25">
      <c r="A120" t="s">
        <v>334</v>
      </c>
      <c r="B120" t="s">
        <v>34</v>
      </c>
      <c r="C120" s="1">
        <v>45479</v>
      </c>
      <c r="D120" t="s">
        <v>632</v>
      </c>
      <c r="E120">
        <f ca="1">DATEDIF(entretiens[[#This Row],[Date dernier entretien]], TODAY(), "M")</f>
        <v>22</v>
      </c>
      <c r="F120" t="str">
        <f ca="1">IF(entretiens[[#This Row],[Mois depuis entretien]] &gt; 12, "À contrôler", "")</f>
        <v>À contrôler</v>
      </c>
    </row>
    <row r="121" spans="1:6" x14ac:dyDescent="0.25">
      <c r="A121" t="s">
        <v>335</v>
      </c>
      <c r="B121" t="s">
        <v>38</v>
      </c>
      <c r="C121" s="1">
        <v>45163</v>
      </c>
      <c r="D121" t="s">
        <v>633</v>
      </c>
      <c r="E121">
        <f ca="1">DATEDIF(entretiens[[#This Row],[Date dernier entretien]], TODAY(), "M")</f>
        <v>33</v>
      </c>
      <c r="F121" t="str">
        <f ca="1">IF(entretiens[[#This Row],[Mois depuis entretien]] &gt; 12, "À contrôler", "")</f>
        <v>À contrôler</v>
      </c>
    </row>
    <row r="122" spans="1:6" x14ac:dyDescent="0.25">
      <c r="A122" t="s">
        <v>337</v>
      </c>
      <c r="B122" t="s">
        <v>49</v>
      </c>
      <c r="C122" s="1">
        <v>45299</v>
      </c>
      <c r="D122" t="s">
        <v>634</v>
      </c>
      <c r="E122">
        <f ca="1">DATEDIF(entretiens[[#This Row],[Date dernier entretien]], TODAY(), "M")</f>
        <v>28</v>
      </c>
      <c r="F122" t="str">
        <f ca="1">IF(entretiens[[#This Row],[Mois depuis entretien]] &gt; 12, "À contrôler", "")</f>
        <v>À contrôler</v>
      </c>
    </row>
    <row r="123" spans="1:6" x14ac:dyDescent="0.25">
      <c r="A123" t="s">
        <v>338</v>
      </c>
      <c r="B123" t="s">
        <v>38</v>
      </c>
      <c r="C123" s="1">
        <v>45733</v>
      </c>
      <c r="D123" t="s">
        <v>633</v>
      </c>
      <c r="E123">
        <f ca="1">DATEDIF(entretiens[[#This Row],[Date dernier entretien]], TODAY(), "M")</f>
        <v>14</v>
      </c>
      <c r="F123" t="str">
        <f ca="1">IF(entretiens[[#This Row],[Mois depuis entretien]] &gt; 12, "À contrôler", "")</f>
        <v>À contrôler</v>
      </c>
    </row>
    <row r="124" spans="1:6" x14ac:dyDescent="0.25">
      <c r="A124" t="s">
        <v>340</v>
      </c>
      <c r="B124" t="s">
        <v>38</v>
      </c>
      <c r="C124" s="1">
        <v>45499</v>
      </c>
      <c r="D124" t="s">
        <v>633</v>
      </c>
      <c r="E124">
        <f ca="1">DATEDIF(entretiens[[#This Row],[Date dernier entretien]], TODAY(), "M")</f>
        <v>21</v>
      </c>
      <c r="F124" t="str">
        <f ca="1">IF(entretiens[[#This Row],[Mois depuis entretien]] &gt; 12, "À contrôler", "")</f>
        <v>À contrôler</v>
      </c>
    </row>
    <row r="125" spans="1:6" x14ac:dyDescent="0.25">
      <c r="A125" t="s">
        <v>343</v>
      </c>
      <c r="B125" t="s">
        <v>21</v>
      </c>
      <c r="C125" s="1">
        <v>45531</v>
      </c>
      <c r="D125" t="s">
        <v>633</v>
      </c>
      <c r="E125">
        <f ca="1">DATEDIF(entretiens[[#This Row],[Date dernier entretien]], TODAY(), "M")</f>
        <v>20</v>
      </c>
      <c r="F125" t="str">
        <f ca="1">IF(entretiens[[#This Row],[Mois depuis entretien]] &gt; 12, "À contrôler", "")</f>
        <v>À contrôler</v>
      </c>
    </row>
    <row r="126" spans="1:6" x14ac:dyDescent="0.25">
      <c r="A126" t="s">
        <v>346</v>
      </c>
      <c r="B126" t="s">
        <v>15</v>
      </c>
      <c r="C126" s="1">
        <v>45417</v>
      </c>
      <c r="D126" t="s">
        <v>634</v>
      </c>
      <c r="E126">
        <f ca="1">DATEDIF(entretiens[[#This Row],[Date dernier entretien]], TODAY(), "M")</f>
        <v>24</v>
      </c>
      <c r="F126" t="str">
        <f ca="1">IF(entretiens[[#This Row],[Mois depuis entretien]] &gt; 12, "À contrôler", "")</f>
        <v>À contrôler</v>
      </c>
    </row>
    <row r="127" spans="1:6" x14ac:dyDescent="0.25">
      <c r="A127" t="s">
        <v>349</v>
      </c>
      <c r="B127" t="s">
        <v>21</v>
      </c>
      <c r="C127" s="1">
        <v>45791</v>
      </c>
      <c r="D127" t="s">
        <v>631</v>
      </c>
      <c r="E127">
        <f ca="1">DATEDIF(entretiens[[#This Row],[Date dernier entretien]], TODAY(), "M")</f>
        <v>12</v>
      </c>
      <c r="F127" t="str">
        <f ca="1">IF(entretiens[[#This Row],[Mois depuis entretien]] &gt; 12, "À contrôler", "")</f>
        <v/>
      </c>
    </row>
    <row r="128" spans="1:6" x14ac:dyDescent="0.25">
      <c r="A128" t="s">
        <v>351</v>
      </c>
      <c r="B128" t="s">
        <v>15</v>
      </c>
      <c r="C128" s="1">
        <v>45094</v>
      </c>
      <c r="D128" t="s">
        <v>630</v>
      </c>
      <c r="E128">
        <f ca="1">DATEDIF(entretiens[[#This Row],[Date dernier entretien]], TODAY(), "M")</f>
        <v>35</v>
      </c>
      <c r="F128" t="str">
        <f ca="1">IF(entretiens[[#This Row],[Mois depuis entretien]] &gt; 12, "À contrôler", "")</f>
        <v>À contrôler</v>
      </c>
    </row>
    <row r="129" spans="1:6" x14ac:dyDescent="0.25">
      <c r="A129" t="s">
        <v>354</v>
      </c>
      <c r="B129" t="s">
        <v>25</v>
      </c>
      <c r="C129" s="1">
        <v>45474</v>
      </c>
      <c r="D129" t="s">
        <v>630</v>
      </c>
      <c r="E129">
        <f ca="1">DATEDIF(entretiens[[#This Row],[Date dernier entretien]], TODAY(), "M")</f>
        <v>22</v>
      </c>
      <c r="F129" t="str">
        <f ca="1">IF(entretiens[[#This Row],[Mois depuis entretien]] &gt; 12, "À contrôler", "")</f>
        <v>À contrôler</v>
      </c>
    </row>
    <row r="130" spans="1:6" x14ac:dyDescent="0.25">
      <c r="A130" t="s">
        <v>356</v>
      </c>
      <c r="B130" t="s">
        <v>34</v>
      </c>
      <c r="C130" s="1">
        <v>45597</v>
      </c>
      <c r="D130" t="s">
        <v>630</v>
      </c>
      <c r="E130">
        <f ca="1">DATEDIF(entretiens[[#This Row],[Date dernier entretien]], TODAY(), "M")</f>
        <v>18</v>
      </c>
      <c r="F130" t="str">
        <f ca="1">IF(entretiens[[#This Row],[Mois depuis entretien]] &gt; 12, "À contrôler", "")</f>
        <v>À contrôler</v>
      </c>
    </row>
    <row r="131" spans="1:6" x14ac:dyDescent="0.25">
      <c r="A131" t="s">
        <v>359</v>
      </c>
      <c r="B131" t="s">
        <v>15</v>
      </c>
      <c r="C131" s="1">
        <v>45562</v>
      </c>
      <c r="D131" t="s">
        <v>631</v>
      </c>
      <c r="E131">
        <f ca="1">DATEDIF(entretiens[[#This Row],[Date dernier entretien]], TODAY(), "M")</f>
        <v>19</v>
      </c>
      <c r="F131" t="str">
        <f ca="1">IF(entretiens[[#This Row],[Mois depuis entretien]] &gt; 12, "À contrôler", "")</f>
        <v>À contrôler</v>
      </c>
    </row>
    <row r="132" spans="1:6" x14ac:dyDescent="0.25">
      <c r="A132" t="s">
        <v>361</v>
      </c>
      <c r="B132" t="s">
        <v>15</v>
      </c>
      <c r="C132" s="1">
        <v>45356</v>
      </c>
      <c r="D132" t="s">
        <v>630</v>
      </c>
      <c r="E132">
        <f ca="1">DATEDIF(entretiens[[#This Row],[Date dernier entretien]], TODAY(), "M")</f>
        <v>26</v>
      </c>
      <c r="F132" t="str">
        <f ca="1">IF(entretiens[[#This Row],[Mois depuis entretien]] &gt; 12, "À contrôler", "")</f>
        <v>À contrôler</v>
      </c>
    </row>
    <row r="133" spans="1:6" x14ac:dyDescent="0.25">
      <c r="A133" t="s">
        <v>364</v>
      </c>
      <c r="B133" t="s">
        <v>21</v>
      </c>
      <c r="C133" s="1">
        <v>45187</v>
      </c>
      <c r="D133" t="s">
        <v>630</v>
      </c>
      <c r="E133">
        <f ca="1">DATEDIF(entretiens[[#This Row],[Date dernier entretien]], TODAY(), "M")</f>
        <v>32</v>
      </c>
      <c r="F133" t="str">
        <f ca="1">IF(entretiens[[#This Row],[Mois depuis entretien]] &gt; 12, "À contrôler", "")</f>
        <v>À contrôler</v>
      </c>
    </row>
    <row r="134" spans="1:6" x14ac:dyDescent="0.25">
      <c r="A134" t="s">
        <v>366</v>
      </c>
      <c r="B134" t="s">
        <v>25</v>
      </c>
      <c r="C134" s="1">
        <v>45810</v>
      </c>
      <c r="D134" t="s">
        <v>631</v>
      </c>
      <c r="E134">
        <f ca="1">DATEDIF(entretiens[[#This Row],[Date dernier entretien]], TODAY(), "M")</f>
        <v>11</v>
      </c>
      <c r="F134" t="str">
        <f ca="1">IF(entretiens[[#This Row],[Mois depuis entretien]] &gt; 12, "À contrôler", "")</f>
        <v/>
      </c>
    </row>
    <row r="135" spans="1:6" x14ac:dyDescent="0.25">
      <c r="A135" t="s">
        <v>369</v>
      </c>
      <c r="B135" t="s">
        <v>15</v>
      </c>
      <c r="C135" s="1">
        <v>45702</v>
      </c>
      <c r="D135" t="s">
        <v>634</v>
      </c>
      <c r="E135">
        <f ca="1">DATEDIF(entretiens[[#This Row],[Date dernier entretien]], TODAY(), "M")</f>
        <v>15</v>
      </c>
      <c r="F135" t="str">
        <f ca="1">IF(entretiens[[#This Row],[Mois depuis entretien]] &gt; 12, "À contrôler", "")</f>
        <v>À contrôler</v>
      </c>
    </row>
    <row r="136" spans="1:6" x14ac:dyDescent="0.25">
      <c r="A136" t="s">
        <v>371</v>
      </c>
      <c r="B136" t="s">
        <v>49</v>
      </c>
      <c r="C136" s="1">
        <v>45524</v>
      </c>
      <c r="D136" t="s">
        <v>633</v>
      </c>
      <c r="E136">
        <f ca="1">DATEDIF(entretiens[[#This Row],[Date dernier entretien]], TODAY(), "M")</f>
        <v>21</v>
      </c>
      <c r="F136" t="str">
        <f ca="1">IF(entretiens[[#This Row],[Mois depuis entretien]] &gt; 12, "À contrôler", "")</f>
        <v>À contrôler</v>
      </c>
    </row>
    <row r="137" spans="1:6" x14ac:dyDescent="0.25">
      <c r="A137" t="s">
        <v>373</v>
      </c>
      <c r="B137" t="s">
        <v>25</v>
      </c>
      <c r="C137" s="1">
        <v>45555</v>
      </c>
      <c r="D137" t="s">
        <v>631</v>
      </c>
      <c r="E137">
        <f ca="1">DATEDIF(entretiens[[#This Row],[Date dernier entretien]], TODAY(), "M")</f>
        <v>20</v>
      </c>
      <c r="F137" t="str">
        <f ca="1">IF(entretiens[[#This Row],[Mois depuis entretien]] &gt; 12, "À contrôler", "")</f>
        <v>À contrôler</v>
      </c>
    </row>
    <row r="138" spans="1:6" x14ac:dyDescent="0.25">
      <c r="A138" t="s">
        <v>375</v>
      </c>
      <c r="B138" t="s">
        <v>49</v>
      </c>
      <c r="C138" s="1">
        <v>45611</v>
      </c>
      <c r="D138" t="s">
        <v>632</v>
      </c>
      <c r="E138">
        <f ca="1">DATEDIF(entretiens[[#This Row],[Date dernier entretien]], TODAY(), "M")</f>
        <v>18</v>
      </c>
      <c r="F138" t="str">
        <f ca="1">IF(entretiens[[#This Row],[Mois depuis entretien]] &gt; 12, "À contrôler", "")</f>
        <v>À contrôler</v>
      </c>
    </row>
    <row r="139" spans="1:6" x14ac:dyDescent="0.25">
      <c r="A139" t="s">
        <v>378</v>
      </c>
      <c r="B139" t="s">
        <v>34</v>
      </c>
      <c r="C139" s="1">
        <v>45287</v>
      </c>
      <c r="D139" t="s">
        <v>634</v>
      </c>
      <c r="E139">
        <f ca="1">DATEDIF(entretiens[[#This Row],[Date dernier entretien]], TODAY(), "M")</f>
        <v>28</v>
      </c>
      <c r="F139" t="str">
        <f ca="1">IF(entretiens[[#This Row],[Mois depuis entretien]] &gt; 12, "À contrôler", "")</f>
        <v>À contrôler</v>
      </c>
    </row>
    <row r="140" spans="1:6" x14ac:dyDescent="0.25">
      <c r="A140" t="s">
        <v>380</v>
      </c>
      <c r="B140" t="s">
        <v>38</v>
      </c>
      <c r="C140" s="1">
        <v>45780</v>
      </c>
      <c r="D140" t="s">
        <v>633</v>
      </c>
      <c r="E140">
        <f ca="1">DATEDIF(entretiens[[#This Row],[Date dernier entretien]], TODAY(), "M")</f>
        <v>12</v>
      </c>
      <c r="F140" t="str">
        <f ca="1">IF(entretiens[[#This Row],[Mois depuis entretien]] &gt; 12, "À contrôler", "")</f>
        <v/>
      </c>
    </row>
    <row r="141" spans="1:6" x14ac:dyDescent="0.25">
      <c r="A141" t="s">
        <v>381</v>
      </c>
      <c r="B141" t="s">
        <v>34</v>
      </c>
      <c r="C141" s="1">
        <v>45218</v>
      </c>
      <c r="D141" t="s">
        <v>632</v>
      </c>
      <c r="E141">
        <f ca="1">DATEDIF(entretiens[[#This Row],[Date dernier entretien]], TODAY(), "M")</f>
        <v>31</v>
      </c>
      <c r="F141" t="str">
        <f ca="1">IF(entretiens[[#This Row],[Mois depuis entretien]] &gt; 12, "À contrôler", "")</f>
        <v>À contrôler</v>
      </c>
    </row>
    <row r="142" spans="1:6" x14ac:dyDescent="0.25">
      <c r="A142" t="s">
        <v>383</v>
      </c>
      <c r="B142" t="s">
        <v>15</v>
      </c>
      <c r="C142" s="1">
        <v>45708</v>
      </c>
      <c r="D142" t="s">
        <v>632</v>
      </c>
      <c r="E142">
        <f ca="1">DATEDIF(entretiens[[#This Row],[Date dernier entretien]], TODAY(), "M")</f>
        <v>15</v>
      </c>
      <c r="F142" t="str">
        <f ca="1">IF(entretiens[[#This Row],[Mois depuis entretien]] &gt; 12, "À contrôler", "")</f>
        <v>À contrôler</v>
      </c>
    </row>
    <row r="143" spans="1:6" x14ac:dyDescent="0.25">
      <c r="A143" t="s">
        <v>385</v>
      </c>
      <c r="B143" t="s">
        <v>25</v>
      </c>
      <c r="C143" s="1">
        <v>45160</v>
      </c>
      <c r="D143" t="s">
        <v>632</v>
      </c>
      <c r="E143">
        <f ca="1">DATEDIF(entretiens[[#This Row],[Date dernier entretien]], TODAY(), "M")</f>
        <v>33</v>
      </c>
      <c r="F143" t="str">
        <f ca="1">IF(entretiens[[#This Row],[Mois depuis entretien]] &gt; 12, "À contrôler", "")</f>
        <v>À contrôler</v>
      </c>
    </row>
    <row r="144" spans="1:6" x14ac:dyDescent="0.25">
      <c r="A144" t="s">
        <v>388</v>
      </c>
      <c r="B144" t="s">
        <v>49</v>
      </c>
      <c r="C144" s="1">
        <v>45359</v>
      </c>
      <c r="D144" t="s">
        <v>630</v>
      </c>
      <c r="E144">
        <f ca="1">DATEDIF(entretiens[[#This Row],[Date dernier entretien]], TODAY(), "M")</f>
        <v>26</v>
      </c>
      <c r="F144" t="str">
        <f ca="1">IF(entretiens[[#This Row],[Mois depuis entretien]] &gt; 12, "À contrôler", "")</f>
        <v>À contrôler</v>
      </c>
    </row>
    <row r="145" spans="1:6" x14ac:dyDescent="0.25">
      <c r="A145" t="s">
        <v>391</v>
      </c>
      <c r="B145" t="s">
        <v>21</v>
      </c>
      <c r="C145" s="1">
        <v>45580</v>
      </c>
      <c r="D145" t="s">
        <v>632</v>
      </c>
      <c r="E145">
        <f ca="1">DATEDIF(entretiens[[#This Row],[Date dernier entretien]], TODAY(), "M")</f>
        <v>19</v>
      </c>
      <c r="F145" t="str">
        <f ca="1">IF(entretiens[[#This Row],[Mois depuis entretien]] &gt; 12, "À contrôler", "")</f>
        <v>À contrôler</v>
      </c>
    </row>
    <row r="146" spans="1:6" x14ac:dyDescent="0.25">
      <c r="A146" t="s">
        <v>394</v>
      </c>
      <c r="B146" t="s">
        <v>38</v>
      </c>
      <c r="C146" s="1">
        <v>45556</v>
      </c>
      <c r="D146" t="s">
        <v>632</v>
      </c>
      <c r="E146">
        <f ca="1">DATEDIF(entretiens[[#This Row],[Date dernier entretien]], TODAY(), "M")</f>
        <v>20</v>
      </c>
      <c r="F146" t="str">
        <f ca="1">IF(entretiens[[#This Row],[Mois depuis entretien]] &gt; 12, "À contrôler", "")</f>
        <v>À contrôler</v>
      </c>
    </row>
    <row r="147" spans="1:6" x14ac:dyDescent="0.25">
      <c r="A147" t="s">
        <v>396</v>
      </c>
      <c r="B147" t="s">
        <v>21</v>
      </c>
      <c r="C147" s="1">
        <v>45140</v>
      </c>
      <c r="D147" t="s">
        <v>630</v>
      </c>
      <c r="E147">
        <f ca="1">DATEDIF(entretiens[[#This Row],[Date dernier entretien]], TODAY(), "M")</f>
        <v>33</v>
      </c>
      <c r="F147" t="str">
        <f ca="1">IF(entretiens[[#This Row],[Mois depuis entretien]] &gt; 12, "À contrôler", "")</f>
        <v>À contrôler</v>
      </c>
    </row>
    <row r="148" spans="1:6" x14ac:dyDescent="0.25">
      <c r="A148" t="s">
        <v>398</v>
      </c>
      <c r="B148" t="s">
        <v>49</v>
      </c>
      <c r="C148" s="1">
        <v>45271</v>
      </c>
      <c r="D148" t="s">
        <v>631</v>
      </c>
      <c r="E148">
        <f ca="1">DATEDIF(entretiens[[#This Row],[Date dernier entretien]], TODAY(), "M")</f>
        <v>29</v>
      </c>
      <c r="F148" t="str">
        <f ca="1">IF(entretiens[[#This Row],[Mois depuis entretien]] &gt; 12, "À contrôler", "")</f>
        <v>À contrôler</v>
      </c>
    </row>
    <row r="149" spans="1:6" x14ac:dyDescent="0.25">
      <c r="A149" t="s">
        <v>400</v>
      </c>
      <c r="B149" t="s">
        <v>34</v>
      </c>
      <c r="C149" s="1">
        <v>45207</v>
      </c>
      <c r="D149" t="s">
        <v>634</v>
      </c>
      <c r="E149">
        <f ca="1">DATEDIF(entretiens[[#This Row],[Date dernier entretien]], TODAY(), "M")</f>
        <v>31</v>
      </c>
      <c r="F149" t="str">
        <f ca="1">IF(entretiens[[#This Row],[Mois depuis entretien]] &gt; 12, "À contrôler", "")</f>
        <v>À contrôler</v>
      </c>
    </row>
    <row r="150" spans="1:6" x14ac:dyDescent="0.25">
      <c r="A150" t="s">
        <v>402</v>
      </c>
      <c r="B150" t="s">
        <v>34</v>
      </c>
      <c r="C150" s="1">
        <v>45174</v>
      </c>
      <c r="D150" t="s">
        <v>632</v>
      </c>
      <c r="E150">
        <f ca="1">DATEDIF(entretiens[[#This Row],[Date dernier entretien]], TODAY(), "M")</f>
        <v>32</v>
      </c>
      <c r="F150" t="str">
        <f ca="1">IF(entretiens[[#This Row],[Mois depuis entretien]] &gt; 12, "À contrôler", "")</f>
        <v>À contrôler</v>
      </c>
    </row>
    <row r="151" spans="1:6" x14ac:dyDescent="0.25">
      <c r="A151" t="s">
        <v>405</v>
      </c>
      <c r="B151" t="s">
        <v>15</v>
      </c>
      <c r="C151" s="1">
        <v>45702</v>
      </c>
      <c r="D151" t="s">
        <v>632</v>
      </c>
      <c r="E151">
        <f ca="1">DATEDIF(entretiens[[#This Row],[Date dernier entretien]], TODAY(), "M")</f>
        <v>15</v>
      </c>
      <c r="F151" t="str">
        <f ca="1">IF(entretiens[[#This Row],[Mois depuis entretien]] &gt; 12, "À contrôler", "")</f>
        <v>À contrôler</v>
      </c>
    </row>
    <row r="152" spans="1:6" x14ac:dyDescent="0.25">
      <c r="A152" t="s">
        <v>407</v>
      </c>
      <c r="B152" t="s">
        <v>49</v>
      </c>
      <c r="C152" s="1">
        <v>45640</v>
      </c>
      <c r="D152" t="s">
        <v>633</v>
      </c>
      <c r="E152">
        <f ca="1">DATEDIF(entretiens[[#This Row],[Date dernier entretien]], TODAY(), "M")</f>
        <v>17</v>
      </c>
      <c r="F152" t="str">
        <f ca="1">IF(entretiens[[#This Row],[Mois depuis entretien]] &gt; 12, "À contrôler", "")</f>
        <v>À contrôler</v>
      </c>
    </row>
    <row r="153" spans="1:6" x14ac:dyDescent="0.25">
      <c r="A153" t="s">
        <v>410</v>
      </c>
      <c r="B153" t="s">
        <v>15</v>
      </c>
      <c r="C153" s="1">
        <v>45428</v>
      </c>
      <c r="D153" t="s">
        <v>630</v>
      </c>
      <c r="E153">
        <f ca="1">DATEDIF(entretiens[[#This Row],[Date dernier entretien]], TODAY(), "M")</f>
        <v>24</v>
      </c>
      <c r="F153" t="str">
        <f ca="1">IF(entretiens[[#This Row],[Mois depuis entretien]] &gt; 12, "À contrôler", "")</f>
        <v>À contrôler</v>
      </c>
    </row>
    <row r="154" spans="1:6" x14ac:dyDescent="0.25">
      <c r="A154" t="s">
        <v>413</v>
      </c>
      <c r="B154" t="s">
        <v>21</v>
      </c>
      <c r="C154" s="1">
        <v>45427</v>
      </c>
      <c r="D154" t="s">
        <v>630</v>
      </c>
      <c r="E154">
        <f ca="1">DATEDIF(entretiens[[#This Row],[Date dernier entretien]], TODAY(), "M")</f>
        <v>24</v>
      </c>
      <c r="F154" t="str">
        <f ca="1">IF(entretiens[[#This Row],[Mois depuis entretien]] &gt; 12, "À contrôler", "")</f>
        <v>À contrôler</v>
      </c>
    </row>
    <row r="155" spans="1:6" x14ac:dyDescent="0.25">
      <c r="A155" t="s">
        <v>416</v>
      </c>
      <c r="B155" t="s">
        <v>21</v>
      </c>
      <c r="C155" s="1">
        <v>45175</v>
      </c>
      <c r="D155" t="s">
        <v>634</v>
      </c>
      <c r="E155">
        <f ca="1">DATEDIF(entretiens[[#This Row],[Date dernier entretien]], TODAY(), "M")</f>
        <v>32</v>
      </c>
      <c r="F155" t="str">
        <f ca="1">IF(entretiens[[#This Row],[Mois depuis entretien]] &gt; 12, "À contrôler", "")</f>
        <v>À contrôler</v>
      </c>
    </row>
    <row r="156" spans="1:6" x14ac:dyDescent="0.25">
      <c r="A156" t="s">
        <v>418</v>
      </c>
      <c r="B156" t="s">
        <v>15</v>
      </c>
      <c r="C156" s="1">
        <v>45459</v>
      </c>
      <c r="D156" t="s">
        <v>630</v>
      </c>
      <c r="E156">
        <f ca="1">DATEDIF(entretiens[[#This Row],[Date dernier entretien]], TODAY(), "M")</f>
        <v>23</v>
      </c>
      <c r="F156" t="str">
        <f ca="1">IF(entretiens[[#This Row],[Mois depuis entretien]] &gt; 12, "À contrôler", "")</f>
        <v>À contrôler</v>
      </c>
    </row>
    <row r="157" spans="1:6" x14ac:dyDescent="0.25">
      <c r="A157" t="s">
        <v>419</v>
      </c>
      <c r="B157" t="s">
        <v>49</v>
      </c>
      <c r="C157" s="1">
        <v>45103</v>
      </c>
      <c r="D157" t="s">
        <v>633</v>
      </c>
      <c r="E157">
        <f ca="1">DATEDIF(entretiens[[#This Row],[Date dernier entretien]], TODAY(), "M")</f>
        <v>34</v>
      </c>
      <c r="F157" t="str">
        <f ca="1">IF(entretiens[[#This Row],[Mois depuis entretien]] &gt; 12, "À contrôler", "")</f>
        <v>À contrôler</v>
      </c>
    </row>
    <row r="158" spans="1:6" x14ac:dyDescent="0.25">
      <c r="A158" t="s">
        <v>422</v>
      </c>
      <c r="B158" t="s">
        <v>15</v>
      </c>
      <c r="C158" s="1">
        <v>45399</v>
      </c>
      <c r="D158" t="s">
        <v>630</v>
      </c>
      <c r="E158">
        <f ca="1">DATEDIF(entretiens[[#This Row],[Date dernier entretien]], TODAY(), "M")</f>
        <v>25</v>
      </c>
      <c r="F158" t="str">
        <f ca="1">IF(entretiens[[#This Row],[Mois depuis entretien]] &gt; 12, "À contrôler", "")</f>
        <v>À contrôler</v>
      </c>
    </row>
    <row r="159" spans="1:6" x14ac:dyDescent="0.25">
      <c r="A159" t="s">
        <v>423</v>
      </c>
      <c r="B159" t="s">
        <v>49</v>
      </c>
      <c r="C159" s="1">
        <v>45326</v>
      </c>
      <c r="D159" t="s">
        <v>634</v>
      </c>
      <c r="E159">
        <f ca="1">DATEDIF(entretiens[[#This Row],[Date dernier entretien]], TODAY(), "M")</f>
        <v>27</v>
      </c>
      <c r="F159" t="str">
        <f ca="1">IF(entretiens[[#This Row],[Mois depuis entretien]] &gt; 12, "À contrôler", "")</f>
        <v>À contrôler</v>
      </c>
    </row>
    <row r="160" spans="1:6" x14ac:dyDescent="0.25">
      <c r="A160" t="s">
        <v>424</v>
      </c>
      <c r="B160" t="s">
        <v>21</v>
      </c>
      <c r="C160" s="1">
        <v>45340</v>
      </c>
      <c r="D160" t="s">
        <v>631</v>
      </c>
      <c r="E160">
        <f ca="1">DATEDIF(entretiens[[#This Row],[Date dernier entretien]], TODAY(), "M")</f>
        <v>27</v>
      </c>
      <c r="F160" t="str">
        <f ca="1">IF(entretiens[[#This Row],[Mois depuis entretien]] &gt; 12, "À contrôler", "")</f>
        <v>À contrôler</v>
      </c>
    </row>
    <row r="161" spans="1:6" x14ac:dyDescent="0.25">
      <c r="A161" t="s">
        <v>426</v>
      </c>
      <c r="B161" t="s">
        <v>15</v>
      </c>
      <c r="C161" s="1">
        <v>45660</v>
      </c>
      <c r="D161" t="s">
        <v>633</v>
      </c>
      <c r="E161">
        <f ca="1">DATEDIF(entretiens[[#This Row],[Date dernier entretien]], TODAY(), "M")</f>
        <v>16</v>
      </c>
      <c r="F161" t="str">
        <f ca="1">IF(entretiens[[#This Row],[Mois depuis entretien]] &gt; 12, "À contrôler", "")</f>
        <v>À contrôler</v>
      </c>
    </row>
    <row r="162" spans="1:6" x14ac:dyDescent="0.25">
      <c r="A162" t="s">
        <v>428</v>
      </c>
      <c r="B162" t="s">
        <v>49</v>
      </c>
      <c r="C162" s="1">
        <v>45690</v>
      </c>
      <c r="D162" t="s">
        <v>630</v>
      </c>
      <c r="E162">
        <f ca="1">DATEDIF(entretiens[[#This Row],[Date dernier entretien]], TODAY(), "M")</f>
        <v>15</v>
      </c>
      <c r="F162" t="str">
        <f ca="1">IF(entretiens[[#This Row],[Mois depuis entretien]] &gt; 12, "À contrôler", "")</f>
        <v>À contrôler</v>
      </c>
    </row>
    <row r="163" spans="1:6" x14ac:dyDescent="0.25">
      <c r="A163" t="s">
        <v>430</v>
      </c>
      <c r="B163" t="s">
        <v>38</v>
      </c>
      <c r="C163" s="1">
        <v>45226</v>
      </c>
      <c r="D163" t="s">
        <v>633</v>
      </c>
      <c r="E163">
        <f ca="1">DATEDIF(entretiens[[#This Row],[Date dernier entretien]], TODAY(), "M")</f>
        <v>30</v>
      </c>
      <c r="F163" t="str">
        <f ca="1">IF(entretiens[[#This Row],[Mois depuis entretien]] &gt; 12, "À contrôler", "")</f>
        <v>À contrôler</v>
      </c>
    </row>
    <row r="164" spans="1:6" x14ac:dyDescent="0.25">
      <c r="A164" t="s">
        <v>432</v>
      </c>
      <c r="B164" t="s">
        <v>15</v>
      </c>
      <c r="C164" s="1">
        <v>45615</v>
      </c>
      <c r="D164" t="s">
        <v>634</v>
      </c>
      <c r="E164">
        <f ca="1">DATEDIF(entretiens[[#This Row],[Date dernier entretien]], TODAY(), "M")</f>
        <v>18</v>
      </c>
      <c r="F164" t="str">
        <f ca="1">IF(entretiens[[#This Row],[Mois depuis entretien]] &gt; 12, "À contrôler", "")</f>
        <v>À contrôler</v>
      </c>
    </row>
    <row r="165" spans="1:6" x14ac:dyDescent="0.25">
      <c r="A165" t="s">
        <v>435</v>
      </c>
      <c r="B165" t="s">
        <v>25</v>
      </c>
      <c r="C165" s="1">
        <v>45544</v>
      </c>
      <c r="D165" t="s">
        <v>634</v>
      </c>
      <c r="E165">
        <f ca="1">DATEDIF(entretiens[[#This Row],[Date dernier entretien]], TODAY(), "M")</f>
        <v>20</v>
      </c>
      <c r="F165" t="str">
        <f ca="1">IF(entretiens[[#This Row],[Mois depuis entretien]] &gt; 12, "À contrôler", "")</f>
        <v>À contrôler</v>
      </c>
    </row>
    <row r="166" spans="1:6" x14ac:dyDescent="0.25">
      <c r="A166" t="s">
        <v>436</v>
      </c>
      <c r="B166" t="s">
        <v>25</v>
      </c>
      <c r="C166" s="1">
        <v>45687</v>
      </c>
      <c r="D166" t="s">
        <v>630</v>
      </c>
      <c r="E166">
        <f ca="1">DATEDIF(entretiens[[#This Row],[Date dernier entretien]], TODAY(), "M")</f>
        <v>15</v>
      </c>
      <c r="F166" t="str">
        <f ca="1">IF(entretiens[[#This Row],[Mois depuis entretien]] &gt; 12, "À contrôler", "")</f>
        <v>À contrôler</v>
      </c>
    </row>
    <row r="167" spans="1:6" x14ac:dyDescent="0.25">
      <c r="A167" t="s">
        <v>439</v>
      </c>
      <c r="B167" t="s">
        <v>34</v>
      </c>
      <c r="C167" s="1">
        <v>45428</v>
      </c>
      <c r="D167" t="s">
        <v>630</v>
      </c>
      <c r="E167">
        <f ca="1">DATEDIF(entretiens[[#This Row],[Date dernier entretien]], TODAY(), "M")</f>
        <v>24</v>
      </c>
      <c r="F167" t="str">
        <f ca="1">IF(entretiens[[#This Row],[Mois depuis entretien]] &gt; 12, "À contrôler", "")</f>
        <v>À contrôler</v>
      </c>
    </row>
    <row r="168" spans="1:6" x14ac:dyDescent="0.25">
      <c r="A168" t="s">
        <v>440</v>
      </c>
      <c r="B168" t="s">
        <v>34</v>
      </c>
      <c r="C168" s="1">
        <v>45600</v>
      </c>
      <c r="D168" t="s">
        <v>632</v>
      </c>
      <c r="E168">
        <f ca="1">DATEDIF(entretiens[[#This Row],[Date dernier entretien]], TODAY(), "M")</f>
        <v>18</v>
      </c>
      <c r="F168" t="str">
        <f ca="1">IF(entretiens[[#This Row],[Mois depuis entretien]] &gt; 12, "À contrôler", "")</f>
        <v>À contrôler</v>
      </c>
    </row>
    <row r="169" spans="1:6" x14ac:dyDescent="0.25">
      <c r="A169" t="s">
        <v>443</v>
      </c>
      <c r="B169" t="s">
        <v>25</v>
      </c>
      <c r="C169" s="1">
        <v>45547</v>
      </c>
      <c r="D169" t="s">
        <v>632</v>
      </c>
      <c r="E169">
        <f ca="1">DATEDIF(entretiens[[#This Row],[Date dernier entretien]], TODAY(), "M")</f>
        <v>20</v>
      </c>
      <c r="F169" t="str">
        <f ca="1">IF(entretiens[[#This Row],[Mois depuis entretien]] &gt; 12, "À contrôler", "")</f>
        <v>À contrôler</v>
      </c>
    </row>
    <row r="170" spans="1:6" x14ac:dyDescent="0.25">
      <c r="A170" t="s">
        <v>446</v>
      </c>
      <c r="B170" t="s">
        <v>21</v>
      </c>
      <c r="C170" s="1">
        <v>45625</v>
      </c>
      <c r="D170" t="s">
        <v>632</v>
      </c>
      <c r="E170">
        <f ca="1">DATEDIF(entretiens[[#This Row],[Date dernier entretien]], TODAY(), "M")</f>
        <v>17</v>
      </c>
      <c r="F170" t="str">
        <f ca="1">IF(entretiens[[#This Row],[Mois depuis entretien]] &gt; 12, "À contrôler", "")</f>
        <v>À contrôler</v>
      </c>
    </row>
    <row r="171" spans="1:6" x14ac:dyDescent="0.25">
      <c r="A171" t="s">
        <v>447</v>
      </c>
      <c r="B171" t="s">
        <v>15</v>
      </c>
      <c r="C171" s="1">
        <v>45360</v>
      </c>
      <c r="D171" t="s">
        <v>630</v>
      </c>
      <c r="E171">
        <f ca="1">DATEDIF(entretiens[[#This Row],[Date dernier entretien]], TODAY(), "M")</f>
        <v>26</v>
      </c>
      <c r="F171" t="str">
        <f ca="1">IF(entretiens[[#This Row],[Mois depuis entretien]] &gt; 12, "À contrôler", "")</f>
        <v>À contrôler</v>
      </c>
    </row>
    <row r="172" spans="1:6" x14ac:dyDescent="0.25">
      <c r="A172" t="s">
        <v>448</v>
      </c>
      <c r="B172" t="s">
        <v>21</v>
      </c>
      <c r="C172" s="1">
        <v>45742</v>
      </c>
      <c r="D172" t="s">
        <v>633</v>
      </c>
      <c r="E172">
        <f ca="1">DATEDIF(entretiens[[#This Row],[Date dernier entretien]], TODAY(), "M")</f>
        <v>13</v>
      </c>
      <c r="F172" t="str">
        <f ca="1">IF(entretiens[[#This Row],[Mois depuis entretien]] &gt; 12, "À contrôler", "")</f>
        <v>À contrôler</v>
      </c>
    </row>
    <row r="173" spans="1:6" x14ac:dyDescent="0.25">
      <c r="A173" t="s">
        <v>451</v>
      </c>
      <c r="B173" t="s">
        <v>21</v>
      </c>
      <c r="C173" s="1">
        <v>45313</v>
      </c>
      <c r="D173" t="s">
        <v>631</v>
      </c>
      <c r="E173">
        <f ca="1">DATEDIF(entretiens[[#This Row],[Date dernier entretien]], TODAY(), "M")</f>
        <v>28</v>
      </c>
      <c r="F173" t="str">
        <f ca="1">IF(entretiens[[#This Row],[Mois depuis entretien]] &gt; 12, "À contrôler", "")</f>
        <v>À contrôler</v>
      </c>
    </row>
    <row r="174" spans="1:6" x14ac:dyDescent="0.25">
      <c r="A174" t="s">
        <v>453</v>
      </c>
      <c r="B174" t="s">
        <v>25</v>
      </c>
      <c r="C174" s="1">
        <v>45376</v>
      </c>
      <c r="D174" t="s">
        <v>633</v>
      </c>
      <c r="E174">
        <f ca="1">DATEDIF(entretiens[[#This Row],[Date dernier entretien]], TODAY(), "M")</f>
        <v>26</v>
      </c>
      <c r="F174" t="str">
        <f ca="1">IF(entretiens[[#This Row],[Mois depuis entretien]] &gt; 12, "À contrôler", "")</f>
        <v>À contrôler</v>
      </c>
    </row>
    <row r="175" spans="1:6" x14ac:dyDescent="0.25">
      <c r="A175" t="s">
        <v>454</v>
      </c>
      <c r="B175" t="s">
        <v>38</v>
      </c>
      <c r="C175" s="1">
        <v>45229</v>
      </c>
      <c r="D175" t="s">
        <v>633</v>
      </c>
      <c r="E175">
        <f ca="1">DATEDIF(entretiens[[#This Row],[Date dernier entretien]], TODAY(), "M")</f>
        <v>30</v>
      </c>
      <c r="F175" t="str">
        <f ca="1">IF(entretiens[[#This Row],[Mois depuis entretien]] &gt; 12, "À contrôler", "")</f>
        <v>À contrôler</v>
      </c>
    </row>
    <row r="176" spans="1:6" x14ac:dyDescent="0.25">
      <c r="A176" t="s">
        <v>455</v>
      </c>
      <c r="B176" t="s">
        <v>38</v>
      </c>
      <c r="C176" s="1">
        <v>45736</v>
      </c>
      <c r="D176" t="s">
        <v>633</v>
      </c>
      <c r="E176">
        <f ca="1">DATEDIF(entretiens[[#This Row],[Date dernier entretien]], TODAY(), "M")</f>
        <v>14</v>
      </c>
      <c r="F176" t="str">
        <f ca="1">IF(entretiens[[#This Row],[Mois depuis entretien]] &gt; 12, "À contrôler", "")</f>
        <v>À contrôler</v>
      </c>
    </row>
    <row r="177" spans="1:6" x14ac:dyDescent="0.25">
      <c r="A177" t="s">
        <v>457</v>
      </c>
      <c r="B177" t="s">
        <v>25</v>
      </c>
      <c r="C177" s="1">
        <v>45308</v>
      </c>
      <c r="D177" t="s">
        <v>632</v>
      </c>
      <c r="E177">
        <f ca="1">DATEDIF(entretiens[[#This Row],[Date dernier entretien]], TODAY(), "M")</f>
        <v>28</v>
      </c>
      <c r="F177" t="str">
        <f ca="1">IF(entretiens[[#This Row],[Mois depuis entretien]] &gt; 12, "À contrôler", "")</f>
        <v>À contrôler</v>
      </c>
    </row>
    <row r="178" spans="1:6" x14ac:dyDescent="0.25">
      <c r="A178" t="s">
        <v>459</v>
      </c>
      <c r="B178" t="s">
        <v>49</v>
      </c>
      <c r="C178" s="1">
        <v>45783</v>
      </c>
      <c r="D178" t="s">
        <v>630</v>
      </c>
      <c r="E178">
        <f ca="1">DATEDIF(entretiens[[#This Row],[Date dernier entretien]], TODAY(), "M")</f>
        <v>12</v>
      </c>
      <c r="F178" t="str">
        <f ca="1">IF(entretiens[[#This Row],[Mois depuis entretien]] &gt; 12, "À contrôler", "")</f>
        <v/>
      </c>
    </row>
    <row r="179" spans="1:6" x14ac:dyDescent="0.25">
      <c r="A179" t="s">
        <v>461</v>
      </c>
      <c r="B179" t="s">
        <v>34</v>
      </c>
      <c r="C179" s="1">
        <v>45087</v>
      </c>
      <c r="D179" t="s">
        <v>631</v>
      </c>
      <c r="E179">
        <f ca="1">DATEDIF(entretiens[[#This Row],[Date dernier entretien]], TODAY(), "M")</f>
        <v>35</v>
      </c>
      <c r="F179" t="str">
        <f ca="1">IF(entretiens[[#This Row],[Mois depuis entretien]] &gt; 12, "À contrôler", "")</f>
        <v>À contrôler</v>
      </c>
    </row>
    <row r="180" spans="1:6" x14ac:dyDescent="0.25">
      <c r="A180" t="s">
        <v>463</v>
      </c>
      <c r="B180" t="s">
        <v>34</v>
      </c>
      <c r="C180" s="1">
        <v>45114</v>
      </c>
      <c r="D180" t="s">
        <v>630</v>
      </c>
      <c r="E180">
        <f ca="1">DATEDIF(entretiens[[#This Row],[Date dernier entretien]], TODAY(), "M")</f>
        <v>34</v>
      </c>
      <c r="F180" t="str">
        <f ca="1">IF(entretiens[[#This Row],[Mois depuis entretien]] &gt; 12, "À contrôler", "")</f>
        <v>À contrôler</v>
      </c>
    </row>
    <row r="181" spans="1:6" x14ac:dyDescent="0.25">
      <c r="A181" t="s">
        <v>465</v>
      </c>
      <c r="B181" t="s">
        <v>15</v>
      </c>
      <c r="C181" s="1">
        <v>45617</v>
      </c>
      <c r="D181" t="s">
        <v>630</v>
      </c>
      <c r="E181">
        <f ca="1">DATEDIF(entretiens[[#This Row],[Date dernier entretien]], TODAY(), "M")</f>
        <v>18</v>
      </c>
      <c r="F181" t="str">
        <f ca="1">IF(entretiens[[#This Row],[Mois depuis entretien]] &gt; 12, "À contrôler", "")</f>
        <v>À contrôler</v>
      </c>
    </row>
    <row r="182" spans="1:6" x14ac:dyDescent="0.25">
      <c r="A182" t="s">
        <v>467</v>
      </c>
      <c r="B182" t="s">
        <v>21</v>
      </c>
      <c r="C182" s="1">
        <v>45164</v>
      </c>
      <c r="D182" t="s">
        <v>633</v>
      </c>
      <c r="E182">
        <f ca="1">DATEDIF(entretiens[[#This Row],[Date dernier entretien]], TODAY(), "M")</f>
        <v>32</v>
      </c>
      <c r="F182" t="str">
        <f ca="1">IF(entretiens[[#This Row],[Mois depuis entretien]] &gt; 12, "À contrôler", "")</f>
        <v>À contrôler</v>
      </c>
    </row>
    <row r="183" spans="1:6" x14ac:dyDescent="0.25">
      <c r="A183" t="s">
        <v>468</v>
      </c>
      <c r="B183" t="s">
        <v>34</v>
      </c>
      <c r="C183" s="1">
        <v>45403</v>
      </c>
      <c r="D183" t="s">
        <v>632</v>
      </c>
      <c r="E183">
        <f ca="1">DATEDIF(entretiens[[#This Row],[Date dernier entretien]], TODAY(), "M")</f>
        <v>25</v>
      </c>
      <c r="F183" t="str">
        <f ca="1">IF(entretiens[[#This Row],[Mois depuis entretien]] &gt; 12, "À contrôler", "")</f>
        <v>À contrôler</v>
      </c>
    </row>
    <row r="184" spans="1:6" x14ac:dyDescent="0.25">
      <c r="A184" t="s">
        <v>470</v>
      </c>
      <c r="B184" t="s">
        <v>38</v>
      </c>
      <c r="C184" s="1">
        <v>45255</v>
      </c>
      <c r="D184" t="s">
        <v>634</v>
      </c>
      <c r="E184">
        <f ca="1">DATEDIF(entretiens[[#This Row],[Date dernier entretien]], TODAY(), "M")</f>
        <v>30</v>
      </c>
      <c r="F184" t="str">
        <f ca="1">IF(entretiens[[#This Row],[Mois depuis entretien]] &gt; 12, "À contrôler", "")</f>
        <v>À contrôler</v>
      </c>
    </row>
    <row r="185" spans="1:6" x14ac:dyDescent="0.25">
      <c r="A185" t="s">
        <v>471</v>
      </c>
      <c r="B185" t="s">
        <v>49</v>
      </c>
      <c r="C185" s="1">
        <v>45577</v>
      </c>
      <c r="D185" t="s">
        <v>632</v>
      </c>
      <c r="E185">
        <f ca="1">DATEDIF(entretiens[[#This Row],[Date dernier entretien]], TODAY(), "M")</f>
        <v>19</v>
      </c>
      <c r="F185" t="str">
        <f ca="1">IF(entretiens[[#This Row],[Mois depuis entretien]] &gt; 12, "À contrôler", "")</f>
        <v>À contrôler</v>
      </c>
    </row>
    <row r="186" spans="1:6" x14ac:dyDescent="0.25">
      <c r="A186" t="s">
        <v>473</v>
      </c>
      <c r="B186" t="s">
        <v>34</v>
      </c>
      <c r="C186" s="1">
        <v>45198</v>
      </c>
      <c r="D186" t="s">
        <v>634</v>
      </c>
      <c r="E186">
        <f ca="1">DATEDIF(entretiens[[#This Row],[Date dernier entretien]], TODAY(), "M")</f>
        <v>31</v>
      </c>
      <c r="F186" t="str">
        <f ca="1">IF(entretiens[[#This Row],[Mois depuis entretien]] &gt; 12, "À contrôler", "")</f>
        <v>À contrôler</v>
      </c>
    </row>
    <row r="187" spans="1:6" x14ac:dyDescent="0.25">
      <c r="A187" t="s">
        <v>474</v>
      </c>
      <c r="B187" t="s">
        <v>15</v>
      </c>
      <c r="C187" s="1">
        <v>45671</v>
      </c>
      <c r="D187" t="s">
        <v>632</v>
      </c>
      <c r="E187">
        <f ca="1">DATEDIF(entretiens[[#This Row],[Date dernier entretien]], TODAY(), "M")</f>
        <v>16</v>
      </c>
      <c r="F187" t="str">
        <f ca="1">IF(entretiens[[#This Row],[Mois depuis entretien]] &gt; 12, "À contrôler", "")</f>
        <v>À contrôler</v>
      </c>
    </row>
    <row r="188" spans="1:6" x14ac:dyDescent="0.25">
      <c r="A188" t="s">
        <v>475</v>
      </c>
      <c r="B188" t="s">
        <v>25</v>
      </c>
      <c r="C188" s="1">
        <v>45735</v>
      </c>
      <c r="D188" t="s">
        <v>630</v>
      </c>
      <c r="E188">
        <f ca="1">DATEDIF(entretiens[[#This Row],[Date dernier entretien]], TODAY(), "M")</f>
        <v>14</v>
      </c>
      <c r="F188" t="str">
        <f ca="1">IF(entretiens[[#This Row],[Mois depuis entretien]] &gt; 12, "À contrôler", "")</f>
        <v>À contrôler</v>
      </c>
    </row>
    <row r="189" spans="1:6" x14ac:dyDescent="0.25">
      <c r="A189" t="s">
        <v>477</v>
      </c>
      <c r="B189" t="s">
        <v>25</v>
      </c>
      <c r="C189" s="1">
        <v>45091</v>
      </c>
      <c r="D189" t="s">
        <v>630</v>
      </c>
      <c r="E189">
        <f ca="1">DATEDIF(entretiens[[#This Row],[Date dernier entretien]], TODAY(), "M")</f>
        <v>35</v>
      </c>
      <c r="F189" t="str">
        <f ca="1">IF(entretiens[[#This Row],[Mois depuis entretien]] &gt; 12, "À contrôler", "")</f>
        <v>À contrôler</v>
      </c>
    </row>
    <row r="190" spans="1:6" x14ac:dyDescent="0.25">
      <c r="A190" t="s">
        <v>478</v>
      </c>
      <c r="B190" t="s">
        <v>38</v>
      </c>
      <c r="C190" s="1">
        <v>45696</v>
      </c>
      <c r="D190" t="s">
        <v>631</v>
      </c>
      <c r="E190">
        <f ca="1">DATEDIF(entretiens[[#This Row],[Date dernier entretien]], TODAY(), "M")</f>
        <v>15</v>
      </c>
      <c r="F190" t="str">
        <f ca="1">IF(entretiens[[#This Row],[Mois depuis entretien]] &gt; 12, "À contrôler", "")</f>
        <v>À contrôler</v>
      </c>
    </row>
    <row r="191" spans="1:6" x14ac:dyDescent="0.25">
      <c r="A191" t="s">
        <v>481</v>
      </c>
      <c r="B191" t="s">
        <v>38</v>
      </c>
      <c r="C191" s="1">
        <v>45526</v>
      </c>
      <c r="D191" t="s">
        <v>633</v>
      </c>
      <c r="E191">
        <f ca="1">DATEDIF(entretiens[[#This Row],[Date dernier entretien]], TODAY(), "M")</f>
        <v>21</v>
      </c>
      <c r="F191" t="str">
        <f ca="1">IF(entretiens[[#This Row],[Mois depuis entretien]] &gt; 12, "À contrôler", "")</f>
        <v>À contrôler</v>
      </c>
    </row>
    <row r="192" spans="1:6" x14ac:dyDescent="0.25">
      <c r="A192" t="s">
        <v>482</v>
      </c>
      <c r="B192" t="s">
        <v>21</v>
      </c>
      <c r="C192" s="1">
        <v>45349</v>
      </c>
      <c r="D192" t="s">
        <v>634</v>
      </c>
      <c r="E192">
        <f ca="1">DATEDIF(entretiens[[#This Row],[Date dernier entretien]], TODAY(), "M")</f>
        <v>26</v>
      </c>
      <c r="F192" t="str">
        <f ca="1">IF(entretiens[[#This Row],[Mois depuis entretien]] &gt; 12, "À contrôler", "")</f>
        <v>À contrôler</v>
      </c>
    </row>
    <row r="193" spans="1:6" x14ac:dyDescent="0.25">
      <c r="A193" t="s">
        <v>484</v>
      </c>
      <c r="B193" t="s">
        <v>15</v>
      </c>
      <c r="C193" s="1">
        <v>45419</v>
      </c>
      <c r="D193" t="s">
        <v>633</v>
      </c>
      <c r="E193">
        <f ca="1">DATEDIF(entretiens[[#This Row],[Date dernier entretien]], TODAY(), "M")</f>
        <v>24</v>
      </c>
      <c r="F193" t="str">
        <f ca="1">IF(entretiens[[#This Row],[Mois depuis entretien]] &gt; 12, "À contrôler", "")</f>
        <v>À contrôler</v>
      </c>
    </row>
    <row r="194" spans="1:6" x14ac:dyDescent="0.25">
      <c r="A194" t="s">
        <v>486</v>
      </c>
      <c r="B194" t="s">
        <v>49</v>
      </c>
      <c r="C194" s="1">
        <v>45313</v>
      </c>
      <c r="D194" t="s">
        <v>634</v>
      </c>
      <c r="E194">
        <f ca="1">DATEDIF(entretiens[[#This Row],[Date dernier entretien]], TODAY(), "M")</f>
        <v>28</v>
      </c>
      <c r="F194" t="str">
        <f ca="1">IF(entretiens[[#This Row],[Mois depuis entretien]] &gt; 12, "À contrôler", "")</f>
        <v>À contrôler</v>
      </c>
    </row>
    <row r="195" spans="1:6" x14ac:dyDescent="0.25">
      <c r="A195" t="s">
        <v>488</v>
      </c>
      <c r="B195" t="s">
        <v>25</v>
      </c>
      <c r="C195" s="1">
        <v>45719</v>
      </c>
      <c r="D195" t="s">
        <v>630</v>
      </c>
      <c r="E195">
        <f ca="1">DATEDIF(entretiens[[#This Row],[Date dernier entretien]], TODAY(), "M")</f>
        <v>14</v>
      </c>
      <c r="F195" t="str">
        <f ca="1">IF(entretiens[[#This Row],[Mois depuis entretien]] &gt; 12, "À contrôler", "")</f>
        <v>À contrôler</v>
      </c>
    </row>
    <row r="196" spans="1:6" x14ac:dyDescent="0.25">
      <c r="A196" t="s">
        <v>489</v>
      </c>
      <c r="B196" t="s">
        <v>15</v>
      </c>
      <c r="C196" s="1">
        <v>45124</v>
      </c>
      <c r="D196" t="s">
        <v>633</v>
      </c>
      <c r="E196">
        <f ca="1">DATEDIF(entretiens[[#This Row],[Date dernier entretien]], TODAY(), "M")</f>
        <v>34</v>
      </c>
      <c r="F196" t="str">
        <f ca="1">IF(entretiens[[#This Row],[Mois depuis entretien]] &gt; 12, "À contrôler", "")</f>
        <v>À contrôler</v>
      </c>
    </row>
    <row r="197" spans="1:6" x14ac:dyDescent="0.25">
      <c r="A197" t="s">
        <v>491</v>
      </c>
      <c r="B197" t="s">
        <v>25</v>
      </c>
      <c r="C197" s="1">
        <v>45257</v>
      </c>
      <c r="D197" t="s">
        <v>631</v>
      </c>
      <c r="E197">
        <f ca="1">DATEDIF(entretiens[[#This Row],[Date dernier entretien]], TODAY(), "M")</f>
        <v>29</v>
      </c>
      <c r="F197" t="str">
        <f ca="1">IF(entretiens[[#This Row],[Mois depuis entretien]] &gt; 12, "À contrôler", "")</f>
        <v>À contrôler</v>
      </c>
    </row>
    <row r="198" spans="1:6" x14ac:dyDescent="0.25">
      <c r="A198" t="s">
        <v>494</v>
      </c>
      <c r="B198" t="s">
        <v>38</v>
      </c>
      <c r="C198" s="1">
        <v>45151</v>
      </c>
      <c r="D198" t="s">
        <v>634</v>
      </c>
      <c r="E198">
        <f ca="1">DATEDIF(entretiens[[#This Row],[Date dernier entretien]], TODAY(), "M")</f>
        <v>33</v>
      </c>
      <c r="F198" t="str">
        <f ca="1">IF(entretiens[[#This Row],[Mois depuis entretien]] &gt; 12, "À contrôler", "")</f>
        <v>À contrôler</v>
      </c>
    </row>
    <row r="199" spans="1:6" x14ac:dyDescent="0.25">
      <c r="A199" t="s">
        <v>497</v>
      </c>
      <c r="B199" t="s">
        <v>21</v>
      </c>
      <c r="C199" s="1">
        <v>45204</v>
      </c>
      <c r="D199" t="s">
        <v>634</v>
      </c>
      <c r="E199">
        <f ca="1">DATEDIF(entretiens[[#This Row],[Date dernier entretien]], TODAY(), "M")</f>
        <v>31</v>
      </c>
      <c r="F199" t="str">
        <f ca="1">IF(entretiens[[#This Row],[Mois depuis entretien]] &gt; 12, "À contrôler", "")</f>
        <v>À contrôler</v>
      </c>
    </row>
    <row r="200" spans="1:6" x14ac:dyDescent="0.25">
      <c r="A200" t="s">
        <v>499</v>
      </c>
      <c r="B200" t="s">
        <v>34</v>
      </c>
      <c r="C200" s="1">
        <v>45763</v>
      </c>
      <c r="D200" t="s">
        <v>630</v>
      </c>
      <c r="E200">
        <f ca="1">DATEDIF(entretiens[[#This Row],[Date dernier entretien]], TODAY(), "M")</f>
        <v>13</v>
      </c>
      <c r="F200" t="str">
        <f ca="1">IF(entretiens[[#This Row],[Mois depuis entretien]] &gt; 12, "À contrôler", "")</f>
        <v>À contrôler</v>
      </c>
    </row>
    <row r="201" spans="1:6" x14ac:dyDescent="0.25">
      <c r="A201" t="s">
        <v>502</v>
      </c>
      <c r="B201" t="s">
        <v>34</v>
      </c>
      <c r="C201" s="1">
        <v>45408</v>
      </c>
      <c r="D201" t="s">
        <v>632</v>
      </c>
      <c r="E201">
        <f ca="1">DATEDIF(entretiens[[#This Row],[Date dernier entretien]], TODAY(), "M")</f>
        <v>24</v>
      </c>
      <c r="F201" t="str">
        <f ca="1">IF(entretiens[[#This Row],[Mois depuis entretien]] &gt; 12, "À contrôler", "")</f>
        <v>À contrôler</v>
      </c>
    </row>
    <row r="202" spans="1:6" x14ac:dyDescent="0.25">
      <c r="A202" t="s">
        <v>503</v>
      </c>
      <c r="B202" t="s">
        <v>15</v>
      </c>
      <c r="C202" s="1">
        <v>45465</v>
      </c>
      <c r="D202" t="s">
        <v>630</v>
      </c>
      <c r="E202">
        <f ca="1">DATEDIF(entretiens[[#This Row],[Date dernier entretien]], TODAY(), "M")</f>
        <v>23</v>
      </c>
      <c r="F202" t="str">
        <f ca="1">IF(entretiens[[#This Row],[Mois depuis entretien]] &gt; 12, "À contrôler", "")</f>
        <v>À contrôler</v>
      </c>
    </row>
    <row r="203" spans="1:6" x14ac:dyDescent="0.25">
      <c r="A203" t="s">
        <v>505</v>
      </c>
      <c r="B203" t="s">
        <v>38</v>
      </c>
      <c r="C203" s="1">
        <v>45589</v>
      </c>
      <c r="D203" t="s">
        <v>631</v>
      </c>
      <c r="E203">
        <f ca="1">DATEDIF(entretiens[[#This Row],[Date dernier entretien]], TODAY(), "M")</f>
        <v>19</v>
      </c>
      <c r="F203" t="str">
        <f ca="1">IF(entretiens[[#This Row],[Mois depuis entretien]] &gt; 12, "À contrôler", "")</f>
        <v>À contrôler</v>
      </c>
    </row>
    <row r="204" spans="1:6" x14ac:dyDescent="0.25">
      <c r="A204" t="s">
        <v>507</v>
      </c>
      <c r="B204" t="s">
        <v>49</v>
      </c>
      <c r="C204" s="1">
        <v>45318</v>
      </c>
      <c r="D204" t="s">
        <v>630</v>
      </c>
      <c r="E204">
        <f ca="1">DATEDIF(entretiens[[#This Row],[Date dernier entretien]], TODAY(), "M")</f>
        <v>27</v>
      </c>
      <c r="F204" t="str">
        <f ca="1">IF(entretiens[[#This Row],[Mois depuis entretien]] &gt; 12, "À contrôler", "")</f>
        <v>À contrôler</v>
      </c>
    </row>
    <row r="205" spans="1:6" x14ac:dyDescent="0.25">
      <c r="A205" t="s">
        <v>509</v>
      </c>
      <c r="B205" t="s">
        <v>38</v>
      </c>
      <c r="C205" s="1">
        <v>45309</v>
      </c>
      <c r="D205" t="s">
        <v>631</v>
      </c>
      <c r="E205">
        <f ca="1">DATEDIF(entretiens[[#This Row],[Date dernier entretien]], TODAY(), "M")</f>
        <v>28</v>
      </c>
      <c r="F205" t="str">
        <f ca="1">IF(entretiens[[#This Row],[Mois depuis entretien]] &gt; 12, "À contrôler", "")</f>
        <v>À contrôler</v>
      </c>
    </row>
    <row r="206" spans="1:6" x14ac:dyDescent="0.25">
      <c r="A206" t="s">
        <v>511</v>
      </c>
      <c r="B206" t="s">
        <v>38</v>
      </c>
      <c r="C206" s="1">
        <v>45326</v>
      </c>
      <c r="D206" t="s">
        <v>631</v>
      </c>
      <c r="E206">
        <f ca="1">DATEDIF(entretiens[[#This Row],[Date dernier entretien]], TODAY(), "M")</f>
        <v>27</v>
      </c>
      <c r="F206" t="str">
        <f ca="1">IF(entretiens[[#This Row],[Mois depuis entretien]] &gt; 12, "À contrôler", "")</f>
        <v>À contrôler</v>
      </c>
    </row>
    <row r="207" spans="1:6" x14ac:dyDescent="0.25">
      <c r="A207" t="s">
        <v>513</v>
      </c>
      <c r="B207" t="s">
        <v>34</v>
      </c>
      <c r="C207" s="1">
        <v>45297</v>
      </c>
      <c r="D207" t="s">
        <v>634</v>
      </c>
      <c r="E207">
        <f ca="1">DATEDIF(entretiens[[#This Row],[Date dernier entretien]], TODAY(), "M")</f>
        <v>28</v>
      </c>
      <c r="F207" t="str">
        <f ca="1">IF(entretiens[[#This Row],[Mois depuis entretien]] &gt; 12, "À contrôler", "")</f>
        <v>À contrôler</v>
      </c>
    </row>
    <row r="208" spans="1:6" x14ac:dyDescent="0.25">
      <c r="A208" t="s">
        <v>514</v>
      </c>
      <c r="B208" t="s">
        <v>34</v>
      </c>
      <c r="C208" s="1">
        <v>45718</v>
      </c>
      <c r="D208" t="s">
        <v>632</v>
      </c>
      <c r="E208">
        <f ca="1">DATEDIF(entretiens[[#This Row],[Date dernier entretien]], TODAY(), "M")</f>
        <v>14</v>
      </c>
      <c r="F208" t="str">
        <f ca="1">IF(entretiens[[#This Row],[Mois depuis entretien]] &gt; 12, "À contrôler", "")</f>
        <v>À contrôler</v>
      </c>
    </row>
    <row r="209" spans="1:6" x14ac:dyDescent="0.25">
      <c r="A209" t="s">
        <v>516</v>
      </c>
      <c r="B209" t="s">
        <v>34</v>
      </c>
      <c r="C209" s="1">
        <v>45708</v>
      </c>
      <c r="D209" t="s">
        <v>634</v>
      </c>
      <c r="E209">
        <f ca="1">DATEDIF(entretiens[[#This Row],[Date dernier entretien]], TODAY(), "M")</f>
        <v>15</v>
      </c>
      <c r="F209" t="str">
        <f ca="1">IF(entretiens[[#This Row],[Mois depuis entretien]] &gt; 12, "À contrôler", "")</f>
        <v>À contrôler</v>
      </c>
    </row>
    <row r="210" spans="1:6" x14ac:dyDescent="0.25">
      <c r="A210" t="s">
        <v>518</v>
      </c>
      <c r="B210" t="s">
        <v>21</v>
      </c>
      <c r="C210" s="1">
        <v>45514</v>
      </c>
      <c r="D210" t="s">
        <v>634</v>
      </c>
      <c r="E210">
        <f ca="1">DATEDIF(entretiens[[#This Row],[Date dernier entretien]], TODAY(), "M")</f>
        <v>21</v>
      </c>
      <c r="F210" t="str">
        <f ca="1">IF(entretiens[[#This Row],[Mois depuis entretien]] &gt; 12, "À contrôler", "")</f>
        <v>À contrôler</v>
      </c>
    </row>
    <row r="211" spans="1:6" x14ac:dyDescent="0.25">
      <c r="A211" t="s">
        <v>519</v>
      </c>
      <c r="B211" t="s">
        <v>15</v>
      </c>
      <c r="C211" s="1">
        <v>45116</v>
      </c>
      <c r="D211" t="s">
        <v>633</v>
      </c>
      <c r="E211">
        <f ca="1">DATEDIF(entretiens[[#This Row],[Date dernier entretien]], TODAY(), "M")</f>
        <v>34</v>
      </c>
      <c r="F211" t="str">
        <f ca="1">IF(entretiens[[#This Row],[Mois depuis entretien]] &gt; 12, "À contrôler", "")</f>
        <v>À contrôler</v>
      </c>
    </row>
    <row r="212" spans="1:6" x14ac:dyDescent="0.25">
      <c r="A212" t="s">
        <v>522</v>
      </c>
      <c r="B212" t="s">
        <v>34</v>
      </c>
      <c r="C212" s="1">
        <v>45459</v>
      </c>
      <c r="D212" t="s">
        <v>630</v>
      </c>
      <c r="E212">
        <f ca="1">DATEDIF(entretiens[[#This Row],[Date dernier entretien]], TODAY(), "M")</f>
        <v>23</v>
      </c>
      <c r="F212" t="str">
        <f ca="1">IF(entretiens[[#This Row],[Mois depuis entretien]] &gt; 12, "À contrôler", "")</f>
        <v>À contrôler</v>
      </c>
    </row>
    <row r="213" spans="1:6" x14ac:dyDescent="0.25">
      <c r="A213" t="s">
        <v>524</v>
      </c>
      <c r="B213" t="s">
        <v>21</v>
      </c>
      <c r="C213" s="1">
        <v>45277</v>
      </c>
      <c r="D213" t="s">
        <v>630</v>
      </c>
      <c r="E213">
        <f ca="1">DATEDIF(entretiens[[#This Row],[Date dernier entretien]], TODAY(), "M")</f>
        <v>29</v>
      </c>
      <c r="F213" t="str">
        <f ca="1">IF(entretiens[[#This Row],[Mois depuis entretien]] &gt; 12, "À contrôler", "")</f>
        <v>À contrôler</v>
      </c>
    </row>
    <row r="214" spans="1:6" x14ac:dyDescent="0.25">
      <c r="A214" t="s">
        <v>526</v>
      </c>
      <c r="B214" t="s">
        <v>21</v>
      </c>
      <c r="C214" s="1">
        <v>45530</v>
      </c>
      <c r="D214" t="s">
        <v>632</v>
      </c>
      <c r="E214">
        <f ca="1">DATEDIF(entretiens[[#This Row],[Date dernier entretien]], TODAY(), "M")</f>
        <v>20</v>
      </c>
      <c r="F214" t="str">
        <f ca="1">IF(entretiens[[#This Row],[Mois depuis entretien]] &gt; 12, "À contrôler", "")</f>
        <v>À contrôler</v>
      </c>
    </row>
    <row r="215" spans="1:6" x14ac:dyDescent="0.25">
      <c r="A215" t="s">
        <v>528</v>
      </c>
      <c r="B215" t="s">
        <v>21</v>
      </c>
      <c r="C215" s="1">
        <v>45269</v>
      </c>
      <c r="D215" t="s">
        <v>630</v>
      </c>
      <c r="E215">
        <f ca="1">DATEDIF(entretiens[[#This Row],[Date dernier entretien]], TODAY(), "M")</f>
        <v>29</v>
      </c>
      <c r="F215" t="str">
        <f ca="1">IF(entretiens[[#This Row],[Mois depuis entretien]] &gt; 12, "À contrôler", "")</f>
        <v>À contrôler</v>
      </c>
    </row>
    <row r="216" spans="1:6" x14ac:dyDescent="0.25">
      <c r="A216" t="s">
        <v>530</v>
      </c>
      <c r="B216" t="s">
        <v>15</v>
      </c>
      <c r="C216" s="1">
        <v>45463</v>
      </c>
      <c r="D216" t="s">
        <v>631</v>
      </c>
      <c r="E216">
        <f ca="1">DATEDIF(entretiens[[#This Row],[Date dernier entretien]], TODAY(), "M")</f>
        <v>23</v>
      </c>
      <c r="F216" t="str">
        <f ca="1">IF(entretiens[[#This Row],[Mois depuis entretien]] &gt; 12, "À contrôler", "")</f>
        <v>À contrôler</v>
      </c>
    </row>
    <row r="217" spans="1:6" x14ac:dyDescent="0.25">
      <c r="A217" t="s">
        <v>533</v>
      </c>
      <c r="B217" t="s">
        <v>15</v>
      </c>
      <c r="C217" s="1">
        <v>45314</v>
      </c>
      <c r="D217" t="s">
        <v>632</v>
      </c>
      <c r="E217">
        <f ca="1">DATEDIF(entretiens[[#This Row],[Date dernier entretien]], TODAY(), "M")</f>
        <v>28</v>
      </c>
      <c r="F217" t="str">
        <f ca="1">IF(entretiens[[#This Row],[Mois depuis entretien]] &gt; 12, "À contrôler", "")</f>
        <v>À contrôler</v>
      </c>
    </row>
    <row r="218" spans="1:6" x14ac:dyDescent="0.25">
      <c r="A218" t="s">
        <v>534</v>
      </c>
      <c r="B218" t="s">
        <v>21</v>
      </c>
      <c r="C218" s="1">
        <v>45269</v>
      </c>
      <c r="D218" t="s">
        <v>633</v>
      </c>
      <c r="E218">
        <f ca="1">DATEDIF(entretiens[[#This Row],[Date dernier entretien]], TODAY(), "M")</f>
        <v>29</v>
      </c>
      <c r="F218" t="str">
        <f ca="1">IF(entretiens[[#This Row],[Mois depuis entretien]] &gt; 12, "À contrôler", "")</f>
        <v>À contrôler</v>
      </c>
    </row>
    <row r="219" spans="1:6" x14ac:dyDescent="0.25">
      <c r="A219" t="s">
        <v>536</v>
      </c>
      <c r="B219" t="s">
        <v>34</v>
      </c>
      <c r="C219" s="1">
        <v>45094</v>
      </c>
      <c r="D219" t="s">
        <v>630</v>
      </c>
      <c r="E219">
        <f ca="1">DATEDIF(entretiens[[#This Row],[Date dernier entretien]], TODAY(), "M")</f>
        <v>35</v>
      </c>
      <c r="F219" t="str">
        <f ca="1">IF(entretiens[[#This Row],[Mois depuis entretien]] &gt; 12, "À contrôler", "")</f>
        <v>À contrôler</v>
      </c>
    </row>
    <row r="220" spans="1:6" x14ac:dyDescent="0.25">
      <c r="A220" t="s">
        <v>537</v>
      </c>
      <c r="B220" t="s">
        <v>25</v>
      </c>
      <c r="C220" s="1">
        <v>45210</v>
      </c>
      <c r="D220" t="s">
        <v>630</v>
      </c>
      <c r="E220">
        <f ca="1">DATEDIF(entretiens[[#This Row],[Date dernier entretien]], TODAY(), "M")</f>
        <v>31</v>
      </c>
      <c r="F220" t="str">
        <f ca="1">IF(entretiens[[#This Row],[Mois depuis entretien]] &gt; 12, "À contrôler", "")</f>
        <v>À contrôler</v>
      </c>
    </row>
    <row r="221" spans="1:6" x14ac:dyDescent="0.25">
      <c r="A221" t="s">
        <v>538</v>
      </c>
      <c r="B221" t="s">
        <v>25</v>
      </c>
      <c r="C221" s="1">
        <v>45262</v>
      </c>
      <c r="D221" t="s">
        <v>633</v>
      </c>
      <c r="E221">
        <f ca="1">DATEDIF(entretiens[[#This Row],[Date dernier entretien]], TODAY(), "M")</f>
        <v>29</v>
      </c>
      <c r="F221" t="str">
        <f ca="1">IF(entretiens[[#This Row],[Mois depuis entretien]] &gt; 12, "À contrôler", "")</f>
        <v>À contrôler</v>
      </c>
    </row>
    <row r="222" spans="1:6" x14ac:dyDescent="0.25">
      <c r="A222" t="s">
        <v>540</v>
      </c>
      <c r="B222" t="s">
        <v>15</v>
      </c>
      <c r="C222" s="1">
        <v>45493</v>
      </c>
      <c r="D222" t="s">
        <v>632</v>
      </c>
      <c r="E222">
        <f ca="1">DATEDIF(entretiens[[#This Row],[Date dernier entretien]], TODAY(), "M")</f>
        <v>22</v>
      </c>
      <c r="F222" t="str">
        <f ca="1">IF(entretiens[[#This Row],[Mois depuis entretien]] &gt; 12, "À contrôler", "")</f>
        <v>À contrôler</v>
      </c>
    </row>
    <row r="223" spans="1:6" x14ac:dyDescent="0.25">
      <c r="A223" t="s">
        <v>541</v>
      </c>
      <c r="B223" t="s">
        <v>25</v>
      </c>
      <c r="C223" s="1">
        <v>45623</v>
      </c>
      <c r="D223" t="s">
        <v>630</v>
      </c>
      <c r="E223">
        <f ca="1">DATEDIF(entretiens[[#This Row],[Date dernier entretien]], TODAY(), "M")</f>
        <v>17</v>
      </c>
      <c r="F223" t="str">
        <f ca="1">IF(entretiens[[#This Row],[Mois depuis entretien]] &gt; 12, "À contrôler", "")</f>
        <v>À contrôler</v>
      </c>
    </row>
    <row r="224" spans="1:6" x14ac:dyDescent="0.25">
      <c r="A224" t="s">
        <v>542</v>
      </c>
      <c r="B224" t="s">
        <v>34</v>
      </c>
      <c r="C224" s="1">
        <v>45462</v>
      </c>
      <c r="D224" t="s">
        <v>632</v>
      </c>
      <c r="E224">
        <f ca="1">DATEDIF(entretiens[[#This Row],[Date dernier entretien]], TODAY(), "M")</f>
        <v>23</v>
      </c>
      <c r="F224" t="str">
        <f ca="1">IF(entretiens[[#This Row],[Mois depuis entretien]] &gt; 12, "À contrôler", "")</f>
        <v>À contrôler</v>
      </c>
    </row>
    <row r="225" spans="1:6" x14ac:dyDescent="0.25">
      <c r="A225" t="s">
        <v>544</v>
      </c>
      <c r="B225" t="s">
        <v>25</v>
      </c>
      <c r="C225" s="1">
        <v>45158</v>
      </c>
      <c r="D225" t="s">
        <v>633</v>
      </c>
      <c r="E225">
        <f ca="1">DATEDIF(entretiens[[#This Row],[Date dernier entretien]], TODAY(), "M")</f>
        <v>33</v>
      </c>
      <c r="F225" t="str">
        <f ca="1">IF(entretiens[[#This Row],[Mois depuis entretien]] &gt; 12, "À contrôler", "")</f>
        <v>À contrôler</v>
      </c>
    </row>
    <row r="226" spans="1:6" x14ac:dyDescent="0.25">
      <c r="A226" t="s">
        <v>545</v>
      </c>
      <c r="B226" t="s">
        <v>25</v>
      </c>
      <c r="C226" s="1">
        <v>45756</v>
      </c>
      <c r="D226" t="s">
        <v>630</v>
      </c>
      <c r="E226">
        <f ca="1">DATEDIF(entretiens[[#This Row],[Date dernier entretien]], TODAY(), "M")</f>
        <v>13</v>
      </c>
      <c r="F226" t="str">
        <f ca="1">IF(entretiens[[#This Row],[Mois depuis entretien]] &gt; 12, "À contrôler", "")</f>
        <v>À contrôler</v>
      </c>
    </row>
    <row r="227" spans="1:6" x14ac:dyDescent="0.25">
      <c r="A227" t="s">
        <v>546</v>
      </c>
      <c r="B227" t="s">
        <v>25</v>
      </c>
      <c r="C227" s="1">
        <v>45497</v>
      </c>
      <c r="D227" t="s">
        <v>632</v>
      </c>
      <c r="E227">
        <f ca="1">DATEDIF(entretiens[[#This Row],[Date dernier entretien]], TODAY(), "M")</f>
        <v>22</v>
      </c>
      <c r="F227" t="str">
        <f ca="1">IF(entretiens[[#This Row],[Mois depuis entretien]] &gt; 12, "À contrôler", "")</f>
        <v>À contrôler</v>
      </c>
    </row>
    <row r="228" spans="1:6" x14ac:dyDescent="0.25">
      <c r="A228" t="s">
        <v>549</v>
      </c>
      <c r="B228" t="s">
        <v>25</v>
      </c>
      <c r="C228" s="1">
        <v>45364</v>
      </c>
      <c r="D228" t="s">
        <v>634</v>
      </c>
      <c r="E228">
        <f ca="1">DATEDIF(entretiens[[#This Row],[Date dernier entretien]], TODAY(), "M")</f>
        <v>26</v>
      </c>
      <c r="F228" t="str">
        <f ca="1">IF(entretiens[[#This Row],[Mois depuis entretien]] &gt; 12, "À contrôler", "")</f>
        <v>À contrôler</v>
      </c>
    </row>
    <row r="229" spans="1:6" x14ac:dyDescent="0.25">
      <c r="A229" t="s">
        <v>551</v>
      </c>
      <c r="B229" t="s">
        <v>34</v>
      </c>
      <c r="C229" s="1">
        <v>45433</v>
      </c>
      <c r="D229" t="s">
        <v>632</v>
      </c>
      <c r="E229">
        <f ca="1">DATEDIF(entretiens[[#This Row],[Date dernier entretien]], TODAY(), "M")</f>
        <v>24</v>
      </c>
      <c r="F229" t="str">
        <f ca="1">IF(entretiens[[#This Row],[Mois depuis entretien]] &gt; 12, "À contrôler", "")</f>
        <v>À contrôler</v>
      </c>
    </row>
    <row r="230" spans="1:6" x14ac:dyDescent="0.25">
      <c r="A230" t="s">
        <v>554</v>
      </c>
      <c r="B230" t="s">
        <v>15</v>
      </c>
      <c r="C230" s="1">
        <v>45678</v>
      </c>
      <c r="D230" t="s">
        <v>634</v>
      </c>
      <c r="E230">
        <f ca="1">DATEDIF(entretiens[[#This Row],[Date dernier entretien]], TODAY(), "M")</f>
        <v>16</v>
      </c>
      <c r="F230" t="str">
        <f ca="1">IF(entretiens[[#This Row],[Mois depuis entretien]] &gt; 12, "À contrôler", "")</f>
        <v>À contrôler</v>
      </c>
    </row>
    <row r="231" spans="1:6" x14ac:dyDescent="0.25">
      <c r="A231" t="s">
        <v>556</v>
      </c>
      <c r="B231" t="s">
        <v>49</v>
      </c>
      <c r="C231" s="1">
        <v>45323</v>
      </c>
      <c r="D231" t="s">
        <v>630</v>
      </c>
      <c r="E231">
        <f ca="1">DATEDIF(entretiens[[#This Row],[Date dernier entretien]], TODAY(), "M")</f>
        <v>27</v>
      </c>
      <c r="F231" t="str">
        <f ca="1">IF(entretiens[[#This Row],[Mois depuis entretien]] &gt; 12, "À contrôler", "")</f>
        <v>À contrôler</v>
      </c>
    </row>
    <row r="232" spans="1:6" x14ac:dyDescent="0.25">
      <c r="A232" t="s">
        <v>558</v>
      </c>
      <c r="B232" t="s">
        <v>49</v>
      </c>
      <c r="C232" s="1">
        <v>45479</v>
      </c>
      <c r="D232" t="s">
        <v>634</v>
      </c>
      <c r="E232">
        <f ca="1">DATEDIF(entretiens[[#This Row],[Date dernier entretien]], TODAY(), "M")</f>
        <v>22</v>
      </c>
      <c r="F232" t="str">
        <f ca="1">IF(entretiens[[#This Row],[Mois depuis entretien]] &gt; 12, "À contrôler", "")</f>
        <v>À contrôler</v>
      </c>
    </row>
    <row r="233" spans="1:6" x14ac:dyDescent="0.25">
      <c r="A233" t="s">
        <v>560</v>
      </c>
      <c r="B233" t="s">
        <v>25</v>
      </c>
      <c r="C233" s="1">
        <v>45637</v>
      </c>
      <c r="D233" t="s">
        <v>634</v>
      </c>
      <c r="E233">
        <f ca="1">DATEDIF(entretiens[[#This Row],[Date dernier entretien]], TODAY(), "M")</f>
        <v>17</v>
      </c>
      <c r="F233" t="str">
        <f ca="1">IF(entretiens[[#This Row],[Mois depuis entretien]] &gt; 12, "À contrôler", "")</f>
        <v>À contrôler</v>
      </c>
    </row>
    <row r="234" spans="1:6" x14ac:dyDescent="0.25">
      <c r="A234" t="s">
        <v>563</v>
      </c>
      <c r="B234" t="s">
        <v>25</v>
      </c>
      <c r="C234" s="1">
        <v>45599</v>
      </c>
      <c r="D234" t="s">
        <v>634</v>
      </c>
      <c r="E234">
        <f ca="1">DATEDIF(entretiens[[#This Row],[Date dernier entretien]], TODAY(), "M")</f>
        <v>18</v>
      </c>
      <c r="F234" t="str">
        <f ca="1">IF(entretiens[[#This Row],[Mois depuis entretien]] &gt; 12, "À contrôler", "")</f>
        <v>À contrôler</v>
      </c>
    </row>
    <row r="235" spans="1:6" x14ac:dyDescent="0.25">
      <c r="A235" t="s">
        <v>566</v>
      </c>
      <c r="B235" t="s">
        <v>21</v>
      </c>
      <c r="C235" s="1">
        <v>45672</v>
      </c>
      <c r="D235" t="s">
        <v>630</v>
      </c>
      <c r="E235">
        <f ca="1">DATEDIF(entretiens[[#This Row],[Date dernier entretien]], TODAY(), "M")</f>
        <v>16</v>
      </c>
      <c r="F235" t="str">
        <f ca="1">IF(entretiens[[#This Row],[Mois depuis entretien]] &gt; 12, "À contrôler", "")</f>
        <v>À contrôler</v>
      </c>
    </row>
    <row r="236" spans="1:6" x14ac:dyDescent="0.25">
      <c r="A236" t="s">
        <v>568</v>
      </c>
      <c r="B236" t="s">
        <v>49</v>
      </c>
      <c r="C236" s="1">
        <v>45434</v>
      </c>
      <c r="D236" t="s">
        <v>630</v>
      </c>
      <c r="E236">
        <f ca="1">DATEDIF(entretiens[[#This Row],[Date dernier entretien]], TODAY(), "M")</f>
        <v>24</v>
      </c>
      <c r="F236" t="str">
        <f ca="1">IF(entretiens[[#This Row],[Mois depuis entretien]] &gt; 12, "À contrôler", "")</f>
        <v>À contrôler</v>
      </c>
    </row>
    <row r="237" spans="1:6" x14ac:dyDescent="0.25">
      <c r="A237" t="s">
        <v>570</v>
      </c>
      <c r="B237" t="s">
        <v>15</v>
      </c>
      <c r="C237" s="1">
        <v>45122</v>
      </c>
      <c r="D237" t="s">
        <v>631</v>
      </c>
      <c r="E237">
        <f ca="1">DATEDIF(entretiens[[#This Row],[Date dernier entretien]], TODAY(), "M")</f>
        <v>34</v>
      </c>
      <c r="F237" t="str">
        <f ca="1">IF(entretiens[[#This Row],[Mois depuis entretien]] &gt; 12, "À contrôler", "")</f>
        <v>À contrôler</v>
      </c>
    </row>
    <row r="238" spans="1:6" x14ac:dyDescent="0.25">
      <c r="A238" t="s">
        <v>571</v>
      </c>
      <c r="B238" t="s">
        <v>25</v>
      </c>
      <c r="C238" s="1">
        <v>45467</v>
      </c>
      <c r="D238" t="s">
        <v>630</v>
      </c>
      <c r="E238">
        <f ca="1">DATEDIF(entretiens[[#This Row],[Date dernier entretien]], TODAY(), "M")</f>
        <v>23</v>
      </c>
      <c r="F238" t="str">
        <f ca="1">IF(entretiens[[#This Row],[Mois depuis entretien]] &gt; 12, "À contrôler", "")</f>
        <v>À contrôler</v>
      </c>
    </row>
    <row r="239" spans="1:6" x14ac:dyDescent="0.25">
      <c r="A239" t="s">
        <v>573</v>
      </c>
      <c r="B239" t="s">
        <v>34</v>
      </c>
      <c r="C239" s="1">
        <v>45429</v>
      </c>
      <c r="D239" t="s">
        <v>632</v>
      </c>
      <c r="E239">
        <f ca="1">DATEDIF(entretiens[[#This Row],[Date dernier entretien]], TODAY(), "M")</f>
        <v>24</v>
      </c>
      <c r="F239" t="str">
        <f ca="1">IF(entretiens[[#This Row],[Mois depuis entretien]] &gt; 12, "À contrôler", "")</f>
        <v>À contrôler</v>
      </c>
    </row>
    <row r="240" spans="1:6" x14ac:dyDescent="0.25">
      <c r="A240" t="s">
        <v>576</v>
      </c>
      <c r="B240" t="s">
        <v>15</v>
      </c>
      <c r="C240" s="1">
        <v>45235</v>
      </c>
      <c r="D240" t="s">
        <v>631</v>
      </c>
      <c r="E240">
        <f ca="1">DATEDIF(entretiens[[#This Row],[Date dernier entretien]], TODAY(), "M")</f>
        <v>30</v>
      </c>
      <c r="F240" t="str">
        <f ca="1">IF(entretiens[[#This Row],[Mois depuis entretien]] &gt; 12, "À contrôler", "")</f>
        <v>À contrôler</v>
      </c>
    </row>
    <row r="241" spans="1:6" x14ac:dyDescent="0.25">
      <c r="A241" t="s">
        <v>577</v>
      </c>
      <c r="B241" t="s">
        <v>49</v>
      </c>
      <c r="C241" s="1">
        <v>45613</v>
      </c>
      <c r="D241" t="s">
        <v>633</v>
      </c>
      <c r="E241">
        <f ca="1">DATEDIF(entretiens[[#This Row],[Date dernier entretien]], TODAY(), "M")</f>
        <v>18</v>
      </c>
      <c r="F241" t="str">
        <f ca="1">IF(entretiens[[#This Row],[Mois depuis entretien]] &gt; 12, "À contrôler", "")</f>
        <v>À contrôler</v>
      </c>
    </row>
    <row r="242" spans="1:6" x14ac:dyDescent="0.25">
      <c r="A242" t="s">
        <v>579</v>
      </c>
      <c r="B242" t="s">
        <v>15</v>
      </c>
      <c r="C242" s="1">
        <v>45546</v>
      </c>
      <c r="D242" t="s">
        <v>631</v>
      </c>
      <c r="E242">
        <f ca="1">DATEDIF(entretiens[[#This Row],[Date dernier entretien]], TODAY(), "M")</f>
        <v>20</v>
      </c>
      <c r="F242" t="str">
        <f ca="1">IF(entretiens[[#This Row],[Mois depuis entretien]] &gt; 12, "À contrôler", "")</f>
        <v>À contrôler</v>
      </c>
    </row>
    <row r="243" spans="1:6" x14ac:dyDescent="0.25">
      <c r="A243" t="s">
        <v>581</v>
      </c>
      <c r="B243" t="s">
        <v>38</v>
      </c>
      <c r="C243" s="1">
        <v>45372</v>
      </c>
      <c r="D243" t="s">
        <v>630</v>
      </c>
      <c r="E243">
        <f ca="1">DATEDIF(entretiens[[#This Row],[Date dernier entretien]], TODAY(), "M")</f>
        <v>26</v>
      </c>
      <c r="F243" t="str">
        <f ca="1">IF(entretiens[[#This Row],[Mois depuis entretien]] &gt; 12, "À contrôler", "")</f>
        <v>À contrôler</v>
      </c>
    </row>
    <row r="244" spans="1:6" x14ac:dyDescent="0.25">
      <c r="A244" t="s">
        <v>584</v>
      </c>
      <c r="B244" t="s">
        <v>21</v>
      </c>
      <c r="C244" s="1">
        <v>45499</v>
      </c>
      <c r="D244" t="s">
        <v>632</v>
      </c>
      <c r="E244">
        <f ca="1">DATEDIF(entretiens[[#This Row],[Date dernier entretien]], TODAY(), "M")</f>
        <v>21</v>
      </c>
      <c r="F244" t="str">
        <f ca="1">IF(entretiens[[#This Row],[Mois depuis entretien]] &gt; 12, "À contrôler", "")</f>
        <v>À contrôler</v>
      </c>
    </row>
    <row r="245" spans="1:6" x14ac:dyDescent="0.25">
      <c r="A245" t="s">
        <v>587</v>
      </c>
      <c r="B245" t="s">
        <v>15</v>
      </c>
      <c r="C245" s="1">
        <v>45377</v>
      </c>
      <c r="D245" t="s">
        <v>631</v>
      </c>
      <c r="E245">
        <f ca="1">DATEDIF(entretiens[[#This Row],[Date dernier entretien]], TODAY(), "M")</f>
        <v>25</v>
      </c>
      <c r="F245" t="str">
        <f ca="1">IF(entretiens[[#This Row],[Mois depuis entretien]] &gt; 12, "À contrôler", "")</f>
        <v>À contrôler</v>
      </c>
    </row>
    <row r="246" spans="1:6" x14ac:dyDescent="0.25">
      <c r="A246" t="s">
        <v>588</v>
      </c>
      <c r="B246" t="s">
        <v>15</v>
      </c>
      <c r="C246" s="1">
        <v>45149</v>
      </c>
      <c r="D246" t="s">
        <v>634</v>
      </c>
      <c r="E246">
        <f ca="1">DATEDIF(entretiens[[#This Row],[Date dernier entretien]], TODAY(), "M")</f>
        <v>33</v>
      </c>
      <c r="F246" t="str">
        <f ca="1">IF(entretiens[[#This Row],[Mois depuis entretien]] &gt; 12, "À contrôler", "")</f>
        <v>À contrôler</v>
      </c>
    </row>
    <row r="247" spans="1:6" x14ac:dyDescent="0.25">
      <c r="A247" t="s">
        <v>591</v>
      </c>
      <c r="B247" t="s">
        <v>21</v>
      </c>
      <c r="C247" s="1">
        <v>45668</v>
      </c>
      <c r="D247" t="s">
        <v>630</v>
      </c>
      <c r="E247">
        <f ca="1">DATEDIF(entretiens[[#This Row],[Date dernier entretien]], TODAY(), "M")</f>
        <v>16</v>
      </c>
      <c r="F247" t="str">
        <f ca="1">IF(entretiens[[#This Row],[Mois depuis entretien]] &gt; 12, "À contrôler", "")</f>
        <v>À contrôler</v>
      </c>
    </row>
    <row r="248" spans="1:6" x14ac:dyDescent="0.25">
      <c r="A248" t="s">
        <v>594</v>
      </c>
      <c r="B248" t="s">
        <v>49</v>
      </c>
      <c r="C248" s="1">
        <v>45783</v>
      </c>
      <c r="D248" t="s">
        <v>631</v>
      </c>
      <c r="E248">
        <f ca="1">DATEDIF(entretiens[[#This Row],[Date dernier entretien]], TODAY(), "M")</f>
        <v>12</v>
      </c>
      <c r="F248" t="str">
        <f ca="1">IF(entretiens[[#This Row],[Mois depuis entretien]] &gt; 12, "À contrôler", "")</f>
        <v/>
      </c>
    </row>
    <row r="249" spans="1:6" x14ac:dyDescent="0.25">
      <c r="A249" t="s">
        <v>597</v>
      </c>
      <c r="B249" t="s">
        <v>34</v>
      </c>
      <c r="C249" s="1">
        <v>45401</v>
      </c>
      <c r="D249" t="s">
        <v>633</v>
      </c>
      <c r="E249">
        <f ca="1">DATEDIF(entretiens[[#This Row],[Date dernier entretien]], TODAY(), "M")</f>
        <v>25</v>
      </c>
      <c r="F249" t="str">
        <f ca="1">IF(entretiens[[#This Row],[Mois depuis entretien]] &gt; 12, "À contrôler", "")</f>
        <v>À contrôler</v>
      </c>
    </row>
    <row r="250" spans="1:6" x14ac:dyDescent="0.25">
      <c r="A250" t="s">
        <v>598</v>
      </c>
      <c r="B250" t="s">
        <v>38</v>
      </c>
      <c r="C250" s="1">
        <v>45619</v>
      </c>
      <c r="D250" t="s">
        <v>633</v>
      </c>
      <c r="E250">
        <f ca="1">DATEDIF(entretiens[[#This Row],[Date dernier entretien]], TODAY(), "M")</f>
        <v>18</v>
      </c>
      <c r="F250" t="str">
        <f ca="1">IF(entretiens[[#This Row],[Mois depuis entretien]] &gt; 12, "À contrôler", "")</f>
        <v>À contrôler</v>
      </c>
    </row>
    <row r="251" spans="1:6" x14ac:dyDescent="0.25">
      <c r="A251" t="s">
        <v>601</v>
      </c>
      <c r="B251" t="s">
        <v>34</v>
      </c>
      <c r="C251" s="1">
        <v>45246</v>
      </c>
      <c r="D251" t="s">
        <v>633</v>
      </c>
      <c r="E251">
        <f ca="1">DATEDIF(entretiens[[#This Row],[Date dernier entretien]], TODAY(), "M")</f>
        <v>30</v>
      </c>
      <c r="F251" t="str">
        <f ca="1">IF(entretiens[[#This Row],[Mois depuis entretien]] &gt; 12, "À contrôler", "")</f>
        <v>À contrôler</v>
      </c>
    </row>
  </sheetData>
  <conditionalFormatting sqref="F1:F1048576">
    <cfRule type="containsText" dxfId="0" priority="1" operator="containsText" text="À contrôler">
      <formula>NOT(ISERROR(SEARCH("À contrôler",F1)))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6A0D-33D4-4F66-8CA0-01AA94D685C6}">
  <sheetPr>
    <tabColor rgb="FF00B0F0"/>
  </sheetPr>
  <dimension ref="A1:D41"/>
  <sheetViews>
    <sheetView workbookViewId="0">
      <selection activeCell="D41" sqref="A34:D41"/>
    </sheetView>
  </sheetViews>
  <sheetFormatPr baseColWidth="10" defaultRowHeight="15" x14ac:dyDescent="0.25"/>
  <cols>
    <col min="1" max="1" width="13.5" customWidth="1"/>
    <col min="2" max="2" width="12.375" customWidth="1"/>
    <col min="3" max="3" width="16.5" style="1" customWidth="1"/>
    <col min="4" max="4" width="22.5" customWidth="1"/>
  </cols>
  <sheetData>
    <row r="1" spans="1:4" x14ac:dyDescent="0.25">
      <c r="A1" t="s">
        <v>604</v>
      </c>
      <c r="B1" t="s">
        <v>7</v>
      </c>
      <c r="C1" s="1" t="s">
        <v>635</v>
      </c>
      <c r="D1" t="s">
        <v>636</v>
      </c>
    </row>
    <row r="2" spans="1:4" x14ac:dyDescent="0.25">
      <c r="A2" t="s">
        <v>388</v>
      </c>
      <c r="B2" t="s">
        <v>49</v>
      </c>
      <c r="C2" s="1">
        <v>45767</v>
      </c>
      <c r="D2" t="s">
        <v>637</v>
      </c>
    </row>
    <row r="3" spans="1:4" x14ac:dyDescent="0.25">
      <c r="A3" t="s">
        <v>39</v>
      </c>
      <c r="B3" t="s">
        <v>38</v>
      </c>
      <c r="C3" s="1">
        <v>45576</v>
      </c>
      <c r="D3" t="s">
        <v>637</v>
      </c>
    </row>
    <row r="4" spans="1:4" x14ac:dyDescent="0.25">
      <c r="A4" t="s">
        <v>283</v>
      </c>
      <c r="B4" t="s">
        <v>38</v>
      </c>
      <c r="C4" s="1">
        <v>45481</v>
      </c>
      <c r="D4" t="s">
        <v>637</v>
      </c>
    </row>
    <row r="5" spans="1:4" x14ac:dyDescent="0.25">
      <c r="A5" t="s">
        <v>191</v>
      </c>
      <c r="B5" t="s">
        <v>21</v>
      </c>
      <c r="C5" s="1">
        <v>45570</v>
      </c>
      <c r="D5" t="s">
        <v>637</v>
      </c>
    </row>
    <row r="6" spans="1:4" x14ac:dyDescent="0.25">
      <c r="A6" t="s">
        <v>320</v>
      </c>
      <c r="B6" t="s">
        <v>38</v>
      </c>
      <c r="C6" s="1">
        <v>45568</v>
      </c>
      <c r="D6" t="s">
        <v>637</v>
      </c>
    </row>
    <row r="7" spans="1:4" x14ac:dyDescent="0.25">
      <c r="A7" t="s">
        <v>468</v>
      </c>
      <c r="B7" t="s">
        <v>34</v>
      </c>
      <c r="C7" s="1">
        <v>45687</v>
      </c>
      <c r="D7" t="s">
        <v>637</v>
      </c>
    </row>
    <row r="8" spans="1:4" x14ac:dyDescent="0.25">
      <c r="A8" t="s">
        <v>497</v>
      </c>
      <c r="B8" t="s">
        <v>21</v>
      </c>
      <c r="C8" s="1">
        <v>45509</v>
      </c>
      <c r="D8" t="s">
        <v>637</v>
      </c>
    </row>
    <row r="9" spans="1:4" x14ac:dyDescent="0.25">
      <c r="A9" t="s">
        <v>473</v>
      </c>
      <c r="B9" t="s">
        <v>34</v>
      </c>
      <c r="C9" s="1">
        <v>45625</v>
      </c>
      <c r="D9" t="s">
        <v>637</v>
      </c>
    </row>
    <row r="10" spans="1:4" x14ac:dyDescent="0.25">
      <c r="A10" t="s">
        <v>50</v>
      </c>
      <c r="B10" t="s">
        <v>25</v>
      </c>
      <c r="C10" s="1">
        <v>45728</v>
      </c>
      <c r="D10" t="s">
        <v>637</v>
      </c>
    </row>
    <row r="11" spans="1:4" x14ac:dyDescent="0.25">
      <c r="A11" t="s">
        <v>302</v>
      </c>
      <c r="B11" t="s">
        <v>49</v>
      </c>
      <c r="C11" s="1">
        <v>45579</v>
      </c>
      <c r="D11" t="s">
        <v>637</v>
      </c>
    </row>
    <row r="12" spans="1:4" x14ac:dyDescent="0.25">
      <c r="A12" t="s">
        <v>503</v>
      </c>
      <c r="B12" t="s">
        <v>15</v>
      </c>
      <c r="C12" s="1">
        <v>45507</v>
      </c>
      <c r="D12" t="s">
        <v>637</v>
      </c>
    </row>
    <row r="13" spans="1:4" x14ac:dyDescent="0.25">
      <c r="A13" t="s">
        <v>534</v>
      </c>
      <c r="B13" t="s">
        <v>21</v>
      </c>
      <c r="C13" s="1">
        <v>45693</v>
      </c>
      <c r="D13" t="s">
        <v>637</v>
      </c>
    </row>
    <row r="14" spans="1:4" x14ac:dyDescent="0.25">
      <c r="A14" t="s">
        <v>571</v>
      </c>
      <c r="B14" t="s">
        <v>25</v>
      </c>
      <c r="C14" s="1">
        <v>45612</v>
      </c>
      <c r="D14" t="s">
        <v>638</v>
      </c>
    </row>
    <row r="15" spans="1:4" x14ac:dyDescent="0.25">
      <c r="A15" t="s">
        <v>579</v>
      </c>
      <c r="B15" t="s">
        <v>15</v>
      </c>
      <c r="C15" s="1">
        <v>45548</v>
      </c>
      <c r="D15" t="s">
        <v>637</v>
      </c>
    </row>
    <row r="16" spans="1:4" x14ac:dyDescent="0.25">
      <c r="A16" t="s">
        <v>210</v>
      </c>
      <c r="B16" t="s">
        <v>25</v>
      </c>
      <c r="C16" s="1">
        <v>45797</v>
      </c>
      <c r="D16" t="s">
        <v>639</v>
      </c>
    </row>
    <row r="17" spans="1:4" x14ac:dyDescent="0.25">
      <c r="A17" t="s">
        <v>545</v>
      </c>
      <c r="B17" t="s">
        <v>25</v>
      </c>
      <c r="C17" s="1">
        <v>45594</v>
      </c>
      <c r="D17" t="s">
        <v>637</v>
      </c>
    </row>
    <row r="18" spans="1:4" x14ac:dyDescent="0.25">
      <c r="A18" t="s">
        <v>489</v>
      </c>
      <c r="B18" t="s">
        <v>15</v>
      </c>
      <c r="C18" s="1">
        <v>45564</v>
      </c>
      <c r="D18" t="s">
        <v>637</v>
      </c>
    </row>
    <row r="19" spans="1:4" x14ac:dyDescent="0.25">
      <c r="A19" t="s">
        <v>67</v>
      </c>
      <c r="B19" t="s">
        <v>21</v>
      </c>
      <c r="C19" s="1">
        <v>45779</v>
      </c>
      <c r="D19" t="s">
        <v>637</v>
      </c>
    </row>
    <row r="20" spans="1:4" x14ac:dyDescent="0.25">
      <c r="A20" t="s">
        <v>461</v>
      </c>
      <c r="B20" t="s">
        <v>34</v>
      </c>
      <c r="C20" s="1">
        <v>45633</v>
      </c>
      <c r="D20" t="s">
        <v>638</v>
      </c>
    </row>
    <row r="21" spans="1:4" x14ac:dyDescent="0.25">
      <c r="A21" t="s">
        <v>94</v>
      </c>
      <c r="B21" t="s">
        <v>38</v>
      </c>
      <c r="C21" s="1">
        <v>45543</v>
      </c>
      <c r="D21" t="s">
        <v>640</v>
      </c>
    </row>
    <row r="22" spans="1:4" x14ac:dyDescent="0.25">
      <c r="A22" t="s">
        <v>597</v>
      </c>
      <c r="B22" t="s">
        <v>34</v>
      </c>
      <c r="C22" s="1">
        <v>45707</v>
      </c>
      <c r="D22" t="s">
        <v>640</v>
      </c>
    </row>
    <row r="23" spans="1:4" x14ac:dyDescent="0.25">
      <c r="A23" t="s">
        <v>80</v>
      </c>
      <c r="B23" t="s">
        <v>21</v>
      </c>
      <c r="C23" s="1">
        <v>45513</v>
      </c>
      <c r="D23" t="s">
        <v>637</v>
      </c>
    </row>
    <row r="24" spans="1:4" x14ac:dyDescent="0.25">
      <c r="A24" t="s">
        <v>324</v>
      </c>
      <c r="B24" t="s">
        <v>21</v>
      </c>
      <c r="C24" s="1">
        <v>45778</v>
      </c>
      <c r="D24" t="s">
        <v>640</v>
      </c>
    </row>
    <row r="25" spans="1:4" x14ac:dyDescent="0.25">
      <c r="A25" t="s">
        <v>212</v>
      </c>
      <c r="B25" t="s">
        <v>21</v>
      </c>
      <c r="C25" s="1">
        <v>45533</v>
      </c>
      <c r="D25" t="s">
        <v>637</v>
      </c>
    </row>
    <row r="26" spans="1:4" x14ac:dyDescent="0.25">
      <c r="A26" t="s">
        <v>459</v>
      </c>
      <c r="B26" t="s">
        <v>49</v>
      </c>
      <c r="C26" s="1">
        <v>45784</v>
      </c>
      <c r="D26" t="s">
        <v>637</v>
      </c>
    </row>
    <row r="27" spans="1:4" x14ac:dyDescent="0.25">
      <c r="A27" t="s">
        <v>152</v>
      </c>
      <c r="B27" t="s">
        <v>49</v>
      </c>
      <c r="C27" s="1">
        <v>45802</v>
      </c>
      <c r="D27" t="s">
        <v>640</v>
      </c>
    </row>
    <row r="28" spans="1:4" x14ac:dyDescent="0.25">
      <c r="A28" t="s">
        <v>177</v>
      </c>
      <c r="B28" t="s">
        <v>49</v>
      </c>
      <c r="C28" s="1">
        <v>45670</v>
      </c>
      <c r="D28" t="s">
        <v>640</v>
      </c>
    </row>
    <row r="29" spans="1:4" x14ac:dyDescent="0.25">
      <c r="A29" t="s">
        <v>53</v>
      </c>
      <c r="B29" t="s">
        <v>49</v>
      </c>
      <c r="C29" s="1">
        <v>45760</v>
      </c>
      <c r="D29" t="s">
        <v>638</v>
      </c>
    </row>
    <row r="30" spans="1:4" x14ac:dyDescent="0.25">
      <c r="A30" t="s">
        <v>111</v>
      </c>
      <c r="B30" t="s">
        <v>15</v>
      </c>
      <c r="C30" s="1">
        <v>45712</v>
      </c>
      <c r="D30" t="s">
        <v>641</v>
      </c>
    </row>
    <row r="31" spans="1:4" x14ac:dyDescent="0.25">
      <c r="A31" t="s">
        <v>337</v>
      </c>
      <c r="B31" t="s">
        <v>49</v>
      </c>
      <c r="C31" s="1">
        <v>45540</v>
      </c>
      <c r="D31" t="s">
        <v>637</v>
      </c>
    </row>
    <row r="34" spans="1:4" ht="18.75" x14ac:dyDescent="0.3">
      <c r="A34" s="77" t="s">
        <v>659</v>
      </c>
      <c r="B34" s="77"/>
      <c r="C34" s="77"/>
      <c r="D34" s="77"/>
    </row>
    <row r="35" spans="1:4" x14ac:dyDescent="0.25">
      <c r="A35" t="s">
        <v>7</v>
      </c>
      <c r="B35" t="s">
        <v>660</v>
      </c>
      <c r="C35" s="1" t="s">
        <v>661</v>
      </c>
      <c r="D35" t="s">
        <v>662</v>
      </c>
    </row>
    <row r="36" spans="1:4" x14ac:dyDescent="0.25">
      <c r="A36" t="s">
        <v>21</v>
      </c>
      <c r="B36">
        <f>COUNTIF(quittances[Service],Taux_de_départ_par_service[[#This Row],[Service]])</f>
        <v>7</v>
      </c>
      <c r="C36" s="36">
        <f>COUNTIF(personel!H:H,Taux_de_départ_par_service[[#This Row],[Service]])</f>
        <v>40</v>
      </c>
      <c r="D36" s="49">
        <f>Taux_de_départ_par_service[[#This Row],[Départs]]/Taux_de_départ_par_service[[#This Row],[Effectif]]</f>
        <v>0.17499999999999999</v>
      </c>
    </row>
    <row r="37" spans="1:4" x14ac:dyDescent="0.25">
      <c r="A37" t="s">
        <v>49</v>
      </c>
      <c r="B37">
        <f>COUNTIF(quittances[Service],Taux_de_départ_par_service[[#This Row],[Service]])</f>
        <v>7</v>
      </c>
      <c r="C37" s="36">
        <f>COUNTIF(personel!H:H,Taux_de_départ_par_service[[#This Row],[Service]])</f>
        <v>36</v>
      </c>
      <c r="D37" s="49">
        <f>Taux_de_départ_par_service[[#This Row],[Départs]]/Taux_de_départ_par_service[[#This Row],[Effectif]]</f>
        <v>0.19444444444444445</v>
      </c>
    </row>
    <row r="38" spans="1:4" x14ac:dyDescent="0.25">
      <c r="A38" t="s">
        <v>38</v>
      </c>
      <c r="B38">
        <f>COUNTIF(quittances[Service],Taux_de_départ_par_service[[#This Row],[Service]])</f>
        <v>4</v>
      </c>
      <c r="C38" s="36">
        <f>COUNTIF(personel!H:H,Taux_de_départ_par_service[[#This Row],[Service]])</f>
        <v>40</v>
      </c>
      <c r="D38" s="49">
        <f>Taux_de_départ_par_service[[#This Row],[Départs]]/Taux_de_départ_par_service[[#This Row],[Effectif]]</f>
        <v>0.1</v>
      </c>
    </row>
    <row r="39" spans="1:4" x14ac:dyDescent="0.25">
      <c r="A39" t="s">
        <v>25</v>
      </c>
      <c r="B39">
        <f>COUNTIF(quittances[Service],Taux_de_départ_par_service[[#This Row],[Service]])</f>
        <v>4</v>
      </c>
      <c r="C39" s="36">
        <f>COUNTIF(personel!H:H,Taux_de_départ_par_service[[#This Row],[Service]])</f>
        <v>46</v>
      </c>
      <c r="D39" s="49">
        <f>Taux_de_départ_par_service[[#This Row],[Départs]]/Taux_de_départ_par_service[[#This Row],[Effectif]]</f>
        <v>8.6956521739130432E-2</v>
      </c>
    </row>
    <row r="40" spans="1:4" x14ac:dyDescent="0.25">
      <c r="A40" t="s">
        <v>15</v>
      </c>
      <c r="B40">
        <f>COUNTIF(quittances[Service],Taux_de_départ_par_service[[#This Row],[Service]])</f>
        <v>4</v>
      </c>
      <c r="C40" s="36">
        <f>COUNTIF(personel!H:H,Taux_de_départ_par_service[[#This Row],[Service]])</f>
        <v>47</v>
      </c>
      <c r="D40" s="49">
        <f>Taux_de_départ_par_service[[#This Row],[Départs]]/Taux_de_départ_par_service[[#This Row],[Effectif]]</f>
        <v>8.5106382978723402E-2</v>
      </c>
    </row>
    <row r="41" spans="1:4" x14ac:dyDescent="0.25">
      <c r="A41" t="s">
        <v>34</v>
      </c>
      <c r="B41">
        <f>COUNTIF(quittances[Service],Taux_de_départ_par_service[[#This Row],[Service]])</f>
        <v>4</v>
      </c>
      <c r="C41" s="36">
        <f>COUNTIF(personel!H:H,Taux_de_départ_par_service[[#This Row],[Service]])</f>
        <v>41</v>
      </c>
      <c r="D41" s="49">
        <f>Taux_de_départ_par_service[[#This Row],[Départs]]/Taux_de_départ_par_service[[#This Row],[Effectif]]</f>
        <v>9.7560975609756101E-2</v>
      </c>
    </row>
  </sheetData>
  <mergeCells count="1">
    <mergeCell ref="A34:D34"/>
  </mergeCell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1096660-F3C9-465F-8CD5-1D5C6B57FDC0}">
            <x14:iconSet iconSet="3Flags" custom="1">
              <x14:cfvo type="percent">
                <xm:f>0</xm:f>
              </x14:cfvo>
              <x14:cfvo type="percent">
                <xm:f>10</xm:f>
              </x14:cfvo>
              <x14:cfvo type="percent">
                <xm:f>15</xm:f>
              </x14:cfvo>
              <x14:cfIcon iconSet="3Flags" iconId="2"/>
              <x14:cfIcon iconSet="3Flags" iconId="1"/>
              <x14:cfIcon iconSet="3Flags" iconId="0"/>
            </x14:iconSet>
          </x14:cfRule>
          <xm:sqref>D36:D41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33A7-A1C4-4DAD-9025-8483E6A40E3D}">
  <sheetPr>
    <tabColor theme="1"/>
  </sheetPr>
  <dimension ref="A1:R23"/>
  <sheetViews>
    <sheetView topLeftCell="B1" workbookViewId="0">
      <selection activeCell="Q3" sqref="Q3"/>
    </sheetView>
  </sheetViews>
  <sheetFormatPr baseColWidth="10" defaultRowHeight="15" x14ac:dyDescent="0.25"/>
  <cols>
    <col min="1" max="1" width="20.25" bestFit="1" customWidth="1"/>
    <col min="2" max="2" width="30.5" bestFit="1" customWidth="1"/>
    <col min="7" max="7" width="20.25" bestFit="1" customWidth="1"/>
    <col min="8" max="8" width="13.125" bestFit="1" customWidth="1"/>
    <col min="13" max="13" width="20.25" bestFit="1" customWidth="1"/>
    <col min="14" max="14" width="30.5" bestFit="1" customWidth="1"/>
    <col min="17" max="17" width="20.25" bestFit="1" customWidth="1"/>
    <col min="18" max="18" width="15.125" bestFit="1" customWidth="1"/>
  </cols>
  <sheetData>
    <row r="1" spans="1:18" x14ac:dyDescent="0.25">
      <c r="A1" s="37" t="s">
        <v>645</v>
      </c>
      <c r="B1" t="s">
        <v>647</v>
      </c>
      <c r="G1" s="37" t="s">
        <v>645</v>
      </c>
      <c r="H1" t="s">
        <v>648</v>
      </c>
      <c r="M1" s="37" t="s">
        <v>645</v>
      </c>
      <c r="N1" t="s">
        <v>647</v>
      </c>
      <c r="Q1" s="37" t="s">
        <v>645</v>
      </c>
      <c r="R1" t="s">
        <v>676</v>
      </c>
    </row>
    <row r="2" spans="1:18" x14ac:dyDescent="0.25">
      <c r="A2" s="38" t="s">
        <v>42</v>
      </c>
      <c r="B2" s="13">
        <v>2924.5170731707321</v>
      </c>
      <c r="G2" s="38" t="s">
        <v>21</v>
      </c>
      <c r="H2">
        <v>40</v>
      </c>
      <c r="M2" s="38" t="s">
        <v>21</v>
      </c>
      <c r="N2" s="13">
        <v>2932.2584999999995</v>
      </c>
      <c r="Q2" s="38" t="s">
        <v>13</v>
      </c>
      <c r="R2">
        <v>120</v>
      </c>
    </row>
    <row r="3" spans="1:18" x14ac:dyDescent="0.25">
      <c r="A3" s="39" t="s">
        <v>21</v>
      </c>
      <c r="B3" s="13">
        <v>2848.01</v>
      </c>
      <c r="G3" s="39" t="s">
        <v>13</v>
      </c>
      <c r="H3">
        <v>20</v>
      </c>
      <c r="M3" s="38" t="s">
        <v>49</v>
      </c>
      <c r="N3" s="13">
        <v>2903.8030555555561</v>
      </c>
      <c r="Q3" s="38" t="s">
        <v>20</v>
      </c>
      <c r="R3">
        <v>130</v>
      </c>
    </row>
    <row r="4" spans="1:18" x14ac:dyDescent="0.25">
      <c r="A4" s="39" t="s">
        <v>49</v>
      </c>
      <c r="B4" s="13">
        <v>2803.1676470588236</v>
      </c>
      <c r="G4" s="39" t="s">
        <v>20</v>
      </c>
      <c r="H4">
        <v>20</v>
      </c>
      <c r="M4" s="38" t="s">
        <v>38</v>
      </c>
      <c r="N4" s="13">
        <v>2919.5787499999992</v>
      </c>
      <c r="Q4" s="38" t="s">
        <v>646</v>
      </c>
      <c r="R4">
        <v>250</v>
      </c>
    </row>
    <row r="5" spans="1:18" x14ac:dyDescent="0.25">
      <c r="A5" s="39" t="s">
        <v>38</v>
      </c>
      <c r="B5" s="13">
        <v>3011.4528571428573</v>
      </c>
      <c r="G5" s="38" t="s">
        <v>49</v>
      </c>
      <c r="H5">
        <v>36</v>
      </c>
      <c r="M5" s="38" t="s">
        <v>25</v>
      </c>
      <c r="N5" s="13">
        <v>3066.2895652173906</v>
      </c>
    </row>
    <row r="6" spans="1:18" x14ac:dyDescent="0.25">
      <c r="A6" s="39" t="s">
        <v>25</v>
      </c>
      <c r="B6" s="13">
        <v>2960.0020000000004</v>
      </c>
      <c r="G6" s="39" t="s">
        <v>13</v>
      </c>
      <c r="H6">
        <v>18</v>
      </c>
      <c r="M6" s="38" t="s">
        <v>15</v>
      </c>
      <c r="N6" s="13">
        <v>3135.9453191489361</v>
      </c>
    </row>
    <row r="7" spans="1:18" x14ac:dyDescent="0.25">
      <c r="A7" s="39" t="s">
        <v>15</v>
      </c>
      <c r="B7" s="13">
        <v>2862.0388888888888</v>
      </c>
      <c r="G7" s="39" t="s">
        <v>20</v>
      </c>
      <c r="H7">
        <v>18</v>
      </c>
      <c r="M7" s="38" t="s">
        <v>34</v>
      </c>
      <c r="N7" s="13">
        <v>2999.3756097560981</v>
      </c>
    </row>
    <row r="8" spans="1:18" x14ac:dyDescent="0.25">
      <c r="A8" s="39" t="s">
        <v>34</v>
      </c>
      <c r="B8" s="13">
        <v>3064.5190909090907</v>
      </c>
      <c r="G8" s="38" t="s">
        <v>38</v>
      </c>
      <c r="H8">
        <v>40</v>
      </c>
      <c r="M8" s="38" t="s">
        <v>646</v>
      </c>
      <c r="N8" s="13">
        <v>3000.0942000000014</v>
      </c>
    </row>
    <row r="9" spans="1:18" x14ac:dyDescent="0.25">
      <c r="A9" s="38" t="s">
        <v>14</v>
      </c>
      <c r="B9" s="13">
        <v>3000.008157894737</v>
      </c>
      <c r="G9" s="39" t="s">
        <v>13</v>
      </c>
      <c r="H9">
        <v>12</v>
      </c>
    </row>
    <row r="10" spans="1:18" x14ac:dyDescent="0.25">
      <c r="A10" s="39" t="s">
        <v>21</v>
      </c>
      <c r="B10" s="13">
        <v>3031.8573333333334</v>
      </c>
      <c r="G10" s="39" t="s">
        <v>20</v>
      </c>
      <c r="H10">
        <v>28</v>
      </c>
    </row>
    <row r="11" spans="1:18" x14ac:dyDescent="0.25">
      <c r="A11" s="39" t="s">
        <v>49</v>
      </c>
      <c r="B11" s="13">
        <v>3041.612222222222</v>
      </c>
      <c r="G11" s="38" t="s">
        <v>25</v>
      </c>
      <c r="H11">
        <v>46</v>
      </c>
    </row>
    <row r="12" spans="1:18" x14ac:dyDescent="0.25">
      <c r="A12" s="39" t="s">
        <v>38</v>
      </c>
      <c r="B12" s="13">
        <v>2968.9007692307687</v>
      </c>
      <c r="G12" s="39" t="s">
        <v>13</v>
      </c>
      <c r="H12">
        <v>27</v>
      </c>
    </row>
    <row r="13" spans="1:18" x14ac:dyDescent="0.25">
      <c r="A13" s="39" t="s">
        <v>25</v>
      </c>
      <c r="B13" s="13">
        <v>2992.6315384615382</v>
      </c>
      <c r="G13" s="39" t="s">
        <v>20</v>
      </c>
      <c r="H13">
        <v>19</v>
      </c>
    </row>
    <row r="14" spans="1:18" x14ac:dyDescent="0.25">
      <c r="A14" s="39" t="s">
        <v>15</v>
      </c>
      <c r="B14" s="13">
        <v>3135.2553333333335</v>
      </c>
      <c r="G14" s="38" t="s">
        <v>15</v>
      </c>
      <c r="H14">
        <v>47</v>
      </c>
    </row>
    <row r="15" spans="1:18" x14ac:dyDescent="0.25">
      <c r="A15" s="39" t="s">
        <v>34</v>
      </c>
      <c r="B15" s="13">
        <v>2783.5909090909086</v>
      </c>
      <c r="G15" s="39" t="s">
        <v>13</v>
      </c>
      <c r="H15">
        <v>24</v>
      </c>
    </row>
    <row r="16" spans="1:18" x14ac:dyDescent="0.25">
      <c r="A16" s="38" t="s">
        <v>30</v>
      </c>
      <c r="B16" s="13">
        <v>3067.5275000000001</v>
      </c>
      <c r="G16" s="39" t="s">
        <v>20</v>
      </c>
      <c r="H16">
        <v>23</v>
      </c>
    </row>
    <row r="17" spans="1:8" x14ac:dyDescent="0.25">
      <c r="A17" s="39" t="s">
        <v>21</v>
      </c>
      <c r="B17" s="13">
        <v>2891.7407142857146</v>
      </c>
      <c r="G17" s="38" t="s">
        <v>34</v>
      </c>
      <c r="H17">
        <v>41</v>
      </c>
    </row>
    <row r="18" spans="1:8" x14ac:dyDescent="0.25">
      <c r="A18" s="39" t="s">
        <v>49</v>
      </c>
      <c r="B18" s="13">
        <v>2950.8549999999991</v>
      </c>
      <c r="G18" s="39" t="s">
        <v>13</v>
      </c>
      <c r="H18">
        <v>19</v>
      </c>
    </row>
    <row r="19" spans="1:8" x14ac:dyDescent="0.25">
      <c r="A19" s="39" t="s">
        <v>38</v>
      </c>
      <c r="B19" s="13">
        <v>2771.3153846153846</v>
      </c>
      <c r="G19" s="39" t="s">
        <v>20</v>
      </c>
      <c r="H19">
        <v>22</v>
      </c>
    </row>
    <row r="20" spans="1:8" x14ac:dyDescent="0.25">
      <c r="A20" s="39" t="s">
        <v>25</v>
      </c>
      <c r="B20" s="13">
        <v>3303.4669230769232</v>
      </c>
      <c r="G20" s="38" t="s">
        <v>646</v>
      </c>
      <c r="H20">
        <v>250</v>
      </c>
    </row>
    <row r="21" spans="1:8" x14ac:dyDescent="0.25">
      <c r="A21" s="39" t="s">
        <v>15</v>
      </c>
      <c r="B21" s="13">
        <v>3243.5760869565215</v>
      </c>
    </row>
    <row r="22" spans="1:8" x14ac:dyDescent="0.25">
      <c r="A22" s="39" t="s">
        <v>34</v>
      </c>
      <c r="B22" s="13">
        <v>3086.5889473684206</v>
      </c>
    </row>
    <row r="23" spans="1:8" x14ac:dyDescent="0.25">
      <c r="A23" s="38" t="s">
        <v>646</v>
      </c>
      <c r="B23" s="13">
        <v>3000.0941999999991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A0AD-3165-49A4-AD35-461EC016948A}">
  <sheetPr>
    <tabColor rgb="FFFFC000"/>
  </sheetPr>
  <dimension ref="A1:D260"/>
  <sheetViews>
    <sheetView workbookViewId="0">
      <selection activeCell="C194" sqref="C194"/>
    </sheetView>
  </sheetViews>
  <sheetFormatPr baseColWidth="10" defaultRowHeight="15" x14ac:dyDescent="0.25"/>
  <cols>
    <col min="1" max="1" width="14.875" customWidth="1"/>
    <col min="2" max="2" width="19.375" customWidth="1"/>
    <col min="3" max="3" width="18.875" customWidth="1"/>
    <col min="4" max="4" width="18.75" style="49" bestFit="1" customWidth="1"/>
  </cols>
  <sheetData>
    <row r="1" spans="1:2" ht="18.75" x14ac:dyDescent="0.3">
      <c r="A1" s="78" t="s">
        <v>650</v>
      </c>
      <c r="B1" s="79"/>
    </row>
    <row r="2" spans="1:2" x14ac:dyDescent="0.25">
      <c r="A2" s="41" t="s">
        <v>604</v>
      </c>
      <c r="B2" s="42" t="s">
        <v>649</v>
      </c>
    </row>
    <row r="3" spans="1:2" ht="15.75" hidden="1" thickTop="1" x14ac:dyDescent="0.25">
      <c r="A3" s="43" t="s">
        <v>10</v>
      </c>
      <c r="B3" s="44">
        <f>SUMIF(absences!A:A,Top10_Absence_Salariés[[#This Row],[ID employé]],absences!E:E)</f>
        <v>9</v>
      </c>
    </row>
    <row r="4" spans="1:2" hidden="1" x14ac:dyDescent="0.25">
      <c r="A4" s="45" t="s">
        <v>17</v>
      </c>
      <c r="B4" s="44">
        <f>SUMIF(absences!A:A,Top10_Absence_Salariés[[#This Row],[ID employé]],absences!E:E)</f>
        <v>13</v>
      </c>
    </row>
    <row r="5" spans="1:2" hidden="1" x14ac:dyDescent="0.25">
      <c r="A5" s="45" t="s">
        <v>22</v>
      </c>
      <c r="B5" s="44">
        <f>SUMIF(absences!A:A,Top10_Absence_Salariés[[#This Row],[ID employé]],absences!E:E)</f>
        <v>8</v>
      </c>
    </row>
    <row r="6" spans="1:2" hidden="1" x14ac:dyDescent="0.25">
      <c r="A6" s="45" t="s">
        <v>27</v>
      </c>
      <c r="B6" s="44">
        <f>SUMIF(absences!A:A,Top10_Absence_Salariés[[#This Row],[ID employé]],absences!E:E)</f>
        <v>1</v>
      </c>
    </row>
    <row r="7" spans="1:2" hidden="1" x14ac:dyDescent="0.25">
      <c r="A7" s="45" t="s">
        <v>43</v>
      </c>
      <c r="B7" s="44">
        <f>SUMIF(absences!A:A,Top10_Absence_Salariés[[#This Row],[ID employé]],absences!E:E)</f>
        <v>16</v>
      </c>
    </row>
    <row r="8" spans="1:2" hidden="1" x14ac:dyDescent="0.25">
      <c r="A8" s="45" t="s">
        <v>46</v>
      </c>
      <c r="B8" s="44">
        <f>SUMIF(absences!A:A,Top10_Absence_Salariés[[#This Row],[ID employé]],absences!E:E)</f>
        <v>10</v>
      </c>
    </row>
    <row r="9" spans="1:2" hidden="1" x14ac:dyDescent="0.25">
      <c r="A9" s="45" t="s">
        <v>50</v>
      </c>
      <c r="B9" s="44">
        <f>SUMIF(absences!A:A,Top10_Absence_Salariés[[#This Row],[ID employé]],absences!E:E)</f>
        <v>1</v>
      </c>
    </row>
    <row r="10" spans="1:2" hidden="1" x14ac:dyDescent="0.25">
      <c r="A10" s="45" t="s">
        <v>53</v>
      </c>
      <c r="B10" s="44">
        <f>SUMIF(absences!A:A,Top10_Absence_Salariés[[#This Row],[ID employé]],absences!E:E)</f>
        <v>3</v>
      </c>
    </row>
    <row r="11" spans="1:2" hidden="1" x14ac:dyDescent="0.25">
      <c r="A11" s="45" t="s">
        <v>56</v>
      </c>
      <c r="B11" s="44">
        <f>SUMIF(absences!A:A,Top10_Absence_Salariés[[#This Row],[ID employé]],absences!E:E)</f>
        <v>8</v>
      </c>
    </row>
    <row r="12" spans="1:2" hidden="1" x14ac:dyDescent="0.25">
      <c r="A12" s="45" t="s">
        <v>58</v>
      </c>
      <c r="B12" s="44">
        <f>SUMIF(absences!A:A,Top10_Absence_Salariés[[#This Row],[ID employé]],absences!E:E)</f>
        <v>5</v>
      </c>
    </row>
    <row r="13" spans="1:2" hidden="1" x14ac:dyDescent="0.25">
      <c r="A13" s="45" t="s">
        <v>64</v>
      </c>
      <c r="B13" s="44">
        <f>SUMIF(absences!A:A,Top10_Absence_Salariés[[#This Row],[ID employé]],absences!E:E)</f>
        <v>1</v>
      </c>
    </row>
    <row r="14" spans="1:2" x14ac:dyDescent="0.25">
      <c r="A14" s="45" t="s">
        <v>234</v>
      </c>
      <c r="B14" s="44">
        <f>SUMIF(absences!A:A,Top10_Absence_Salariés[[#This Row],[ID employé]],absences!E:E)</f>
        <v>34</v>
      </c>
    </row>
    <row r="15" spans="1:2" hidden="1" x14ac:dyDescent="0.25">
      <c r="A15" s="45" t="s">
        <v>70</v>
      </c>
      <c r="B15" s="44">
        <f>SUMIF(absences!A:A,Top10_Absence_Salariés[[#This Row],[ID employé]],absences!E:E)</f>
        <v>11</v>
      </c>
    </row>
    <row r="16" spans="1:2" x14ac:dyDescent="0.25">
      <c r="A16" s="45" t="s">
        <v>97</v>
      </c>
      <c r="B16" s="44">
        <f>SUMIF(absences!A:A,Top10_Absence_Salariés[[#This Row],[ID employé]],absences!E:E)</f>
        <v>23</v>
      </c>
    </row>
    <row r="17" spans="1:2" hidden="1" x14ac:dyDescent="0.25">
      <c r="A17" s="45" t="s">
        <v>89</v>
      </c>
      <c r="B17" s="44">
        <f>SUMIF(absences!A:A,Top10_Absence_Salariés[[#This Row],[ID employé]],absences!E:E)</f>
        <v>10</v>
      </c>
    </row>
    <row r="18" spans="1:2" hidden="1" x14ac:dyDescent="0.25">
      <c r="A18" s="45" t="s">
        <v>92</v>
      </c>
      <c r="B18" s="44">
        <f>SUMIF(absences!A:A,Top10_Absence_Salariés[[#This Row],[ID employé]],absences!E:E)</f>
        <v>14</v>
      </c>
    </row>
    <row r="19" spans="1:2" hidden="1" x14ac:dyDescent="0.25">
      <c r="A19" s="45" t="s">
        <v>94</v>
      </c>
      <c r="B19" s="44">
        <f>SUMIF(absences!A:A,Top10_Absence_Salariés[[#This Row],[ID employé]],absences!E:E)</f>
        <v>8</v>
      </c>
    </row>
    <row r="20" spans="1:2" x14ac:dyDescent="0.25">
      <c r="A20" s="45" t="s">
        <v>67</v>
      </c>
      <c r="B20" s="44">
        <f>SUMIF(absences!A:A,Top10_Absence_Salariés[[#This Row],[ID employé]],absences!E:E)</f>
        <v>22</v>
      </c>
    </row>
    <row r="21" spans="1:2" hidden="1" x14ac:dyDescent="0.25">
      <c r="A21" s="45" t="s">
        <v>103</v>
      </c>
      <c r="B21" s="44">
        <f>SUMIF(absences!A:A,Top10_Absence_Salariés[[#This Row],[ID employé]],absences!E:E)</f>
        <v>15</v>
      </c>
    </row>
    <row r="22" spans="1:2" hidden="1" x14ac:dyDescent="0.25">
      <c r="A22" s="45" t="s">
        <v>106</v>
      </c>
      <c r="B22" s="44">
        <f>SUMIF(absences!A:A,Top10_Absence_Salariés[[#This Row],[ID employé]],absences!E:E)</f>
        <v>8</v>
      </c>
    </row>
    <row r="23" spans="1:2" x14ac:dyDescent="0.25">
      <c r="A23" s="45" t="s">
        <v>359</v>
      </c>
      <c r="B23" s="44">
        <f>SUMIF(absences!A:A,Top10_Absence_Salariés[[#This Row],[ID employé]],absences!E:E)</f>
        <v>22</v>
      </c>
    </row>
    <row r="24" spans="1:2" hidden="1" x14ac:dyDescent="0.25">
      <c r="A24" s="45" t="s">
        <v>111</v>
      </c>
      <c r="B24" s="44">
        <f>SUMIF(absences!A:A,Top10_Absence_Salariés[[#This Row],[ID employé]],absences!E:E)</f>
        <v>12</v>
      </c>
    </row>
    <row r="25" spans="1:2" hidden="1" x14ac:dyDescent="0.25">
      <c r="A25" s="45" t="s">
        <v>114</v>
      </c>
      <c r="B25" s="44">
        <f>SUMIF(absences!A:A,Top10_Absence_Salariés[[#This Row],[ID employé]],absences!E:E)</f>
        <v>4</v>
      </c>
    </row>
    <row r="26" spans="1:2" hidden="1" x14ac:dyDescent="0.25">
      <c r="A26" s="45" t="s">
        <v>116</v>
      </c>
      <c r="B26" s="44">
        <f>SUMIF(absences!A:A,Top10_Absence_Salariés[[#This Row],[ID employé]],absences!E:E)</f>
        <v>3</v>
      </c>
    </row>
    <row r="27" spans="1:2" hidden="1" x14ac:dyDescent="0.25">
      <c r="A27" s="45" t="s">
        <v>119</v>
      </c>
      <c r="B27" s="44">
        <f>SUMIF(absences!A:A,Top10_Absence_Salariés[[#This Row],[ID employé]],absences!E:E)</f>
        <v>9</v>
      </c>
    </row>
    <row r="28" spans="1:2" hidden="1" x14ac:dyDescent="0.25">
      <c r="A28" s="45" t="s">
        <v>121</v>
      </c>
      <c r="B28" s="44">
        <f>SUMIF(absences!A:A,Top10_Absence_Salariés[[#This Row],[ID employé]],absences!E:E)</f>
        <v>7</v>
      </c>
    </row>
    <row r="29" spans="1:2" hidden="1" x14ac:dyDescent="0.25">
      <c r="A29" s="45" t="s">
        <v>124</v>
      </c>
      <c r="B29" s="44">
        <f>SUMIF(absences!A:A,Top10_Absence_Salariés[[#This Row],[ID employé]],absences!E:E)</f>
        <v>6</v>
      </c>
    </row>
    <row r="30" spans="1:2" hidden="1" x14ac:dyDescent="0.25">
      <c r="A30" s="45" t="s">
        <v>127</v>
      </c>
      <c r="B30" s="44">
        <f>SUMIF(absences!A:A,Top10_Absence_Salariés[[#This Row],[ID employé]],absences!E:E)</f>
        <v>14</v>
      </c>
    </row>
    <row r="31" spans="1:2" hidden="1" x14ac:dyDescent="0.25">
      <c r="A31" s="45" t="s">
        <v>130</v>
      </c>
      <c r="B31" s="44">
        <f>SUMIF(absences!A:A,Top10_Absence_Salariés[[#This Row],[ID employé]],absences!E:E)</f>
        <v>1</v>
      </c>
    </row>
    <row r="32" spans="1:2" hidden="1" x14ac:dyDescent="0.25">
      <c r="A32" s="45" t="s">
        <v>133</v>
      </c>
      <c r="B32" s="44">
        <f>SUMIF(absences!A:A,Top10_Absence_Salariés[[#This Row],[ID employé]],absences!E:E)</f>
        <v>7</v>
      </c>
    </row>
    <row r="33" spans="1:2" hidden="1" x14ac:dyDescent="0.25">
      <c r="A33" s="45" t="s">
        <v>135</v>
      </c>
      <c r="B33" s="44">
        <f>SUMIF(absences!A:A,Top10_Absence_Salariés[[#This Row],[ID employé]],absences!E:E)</f>
        <v>7</v>
      </c>
    </row>
    <row r="34" spans="1:2" hidden="1" x14ac:dyDescent="0.25">
      <c r="A34" s="45" t="s">
        <v>141</v>
      </c>
      <c r="B34" s="44">
        <f>SUMIF(absences!A:A,Top10_Absence_Salariés[[#This Row],[ID employé]],absences!E:E)</f>
        <v>10</v>
      </c>
    </row>
    <row r="35" spans="1:2" hidden="1" x14ac:dyDescent="0.25">
      <c r="A35" s="45" t="s">
        <v>147</v>
      </c>
      <c r="B35" s="44">
        <f>SUMIF(absences!A:A,Top10_Absence_Salariés[[#This Row],[ID employé]],absences!E:E)</f>
        <v>10</v>
      </c>
    </row>
    <row r="36" spans="1:2" hidden="1" x14ac:dyDescent="0.25">
      <c r="A36" s="45" t="s">
        <v>150</v>
      </c>
      <c r="B36" s="44">
        <f>SUMIF(absences!A:A,Top10_Absence_Salariés[[#This Row],[ID employé]],absences!E:E)</f>
        <v>10</v>
      </c>
    </row>
    <row r="37" spans="1:2" hidden="1" x14ac:dyDescent="0.25">
      <c r="A37" s="45" t="s">
        <v>155</v>
      </c>
      <c r="B37" s="44">
        <f>SUMIF(absences!A:A,Top10_Absence_Salariés[[#This Row],[ID employé]],absences!E:E)</f>
        <v>4</v>
      </c>
    </row>
    <row r="38" spans="1:2" hidden="1" x14ac:dyDescent="0.25">
      <c r="A38" s="45" t="s">
        <v>157</v>
      </c>
      <c r="B38" s="44">
        <f>SUMIF(absences!A:A,Top10_Absence_Salariés[[#This Row],[ID employé]],absences!E:E)</f>
        <v>10</v>
      </c>
    </row>
    <row r="39" spans="1:2" hidden="1" x14ac:dyDescent="0.25">
      <c r="A39" s="45" t="s">
        <v>162</v>
      </c>
      <c r="B39" s="44">
        <f>SUMIF(absences!A:A,Top10_Absence_Salariés[[#This Row],[ID employé]],absences!E:E)</f>
        <v>2</v>
      </c>
    </row>
    <row r="40" spans="1:2" hidden="1" x14ac:dyDescent="0.25">
      <c r="A40" s="45" t="s">
        <v>164</v>
      </c>
      <c r="B40" s="44">
        <f>SUMIF(absences!A:A,Top10_Absence_Salariés[[#This Row],[ID employé]],absences!E:E)</f>
        <v>9</v>
      </c>
    </row>
    <row r="41" spans="1:2" hidden="1" x14ac:dyDescent="0.25">
      <c r="A41" s="45" t="s">
        <v>166</v>
      </c>
      <c r="B41" s="44">
        <f>SUMIF(absences!A:A,Top10_Absence_Salariés[[#This Row],[ID employé]],absences!E:E)</f>
        <v>2</v>
      </c>
    </row>
    <row r="42" spans="1:2" hidden="1" x14ac:dyDescent="0.25">
      <c r="A42" s="45" t="s">
        <v>169</v>
      </c>
      <c r="B42" s="44">
        <f>SUMIF(absences!A:A,Top10_Absence_Salariés[[#This Row],[ID employé]],absences!E:E)</f>
        <v>5</v>
      </c>
    </row>
    <row r="43" spans="1:2" x14ac:dyDescent="0.25">
      <c r="A43" s="45" t="s">
        <v>568</v>
      </c>
      <c r="B43" s="44">
        <f>SUMIF(absences!A:A,Top10_Absence_Salariés[[#This Row],[ID employé]],absences!E:E)</f>
        <v>22</v>
      </c>
    </row>
    <row r="44" spans="1:2" hidden="1" x14ac:dyDescent="0.25">
      <c r="A44" s="45" t="s">
        <v>179</v>
      </c>
      <c r="B44" s="44">
        <f>SUMIF(absences!A:A,Top10_Absence_Salariés[[#This Row],[ID employé]],absences!E:E)</f>
        <v>3</v>
      </c>
    </row>
    <row r="45" spans="1:2" hidden="1" x14ac:dyDescent="0.25">
      <c r="A45" s="45" t="s">
        <v>182</v>
      </c>
      <c r="B45" s="44">
        <f>SUMIF(absences!A:A,Top10_Absence_Salariés[[#This Row],[ID employé]],absences!E:E)</f>
        <v>8</v>
      </c>
    </row>
    <row r="46" spans="1:2" hidden="1" x14ac:dyDescent="0.25">
      <c r="A46" s="45" t="s">
        <v>185</v>
      </c>
      <c r="B46" s="44">
        <f>SUMIF(absences!A:A,Top10_Absence_Salariés[[#This Row],[ID employé]],absences!E:E)</f>
        <v>5</v>
      </c>
    </row>
    <row r="47" spans="1:2" hidden="1" x14ac:dyDescent="0.25">
      <c r="A47" s="45" t="s">
        <v>188</v>
      </c>
      <c r="B47" s="44">
        <f>SUMIF(absences!A:A,Top10_Absence_Salariés[[#This Row],[ID employé]],absences!E:E)</f>
        <v>9</v>
      </c>
    </row>
    <row r="48" spans="1:2" hidden="1" x14ac:dyDescent="0.25">
      <c r="A48" s="45" t="s">
        <v>191</v>
      </c>
      <c r="B48" s="44">
        <f>SUMIF(absences!A:A,Top10_Absence_Salariés[[#This Row],[ID employé]],absences!E:E)</f>
        <v>10</v>
      </c>
    </row>
    <row r="49" spans="1:2" hidden="1" x14ac:dyDescent="0.25">
      <c r="A49" s="45" t="s">
        <v>193</v>
      </c>
      <c r="B49" s="44">
        <f>SUMIF(absences!A:A,Top10_Absence_Salariés[[#This Row],[ID employé]],absences!E:E)</f>
        <v>14</v>
      </c>
    </row>
    <row r="50" spans="1:2" x14ac:dyDescent="0.25">
      <c r="A50" s="45" t="s">
        <v>73</v>
      </c>
      <c r="B50" s="44">
        <f>SUMIF(absences!A:A,Top10_Absence_Salariés[[#This Row],[ID employé]],absences!E:E)</f>
        <v>21</v>
      </c>
    </row>
    <row r="51" spans="1:2" hidden="1" x14ac:dyDescent="0.25">
      <c r="A51" s="45" t="s">
        <v>199</v>
      </c>
      <c r="B51" s="44">
        <f>SUMIF(absences!A:A,Top10_Absence_Salariés[[#This Row],[ID employé]],absences!E:E)</f>
        <v>8</v>
      </c>
    </row>
    <row r="52" spans="1:2" hidden="1" x14ac:dyDescent="0.25">
      <c r="A52" s="45" t="s">
        <v>202</v>
      </c>
      <c r="B52" s="44">
        <f>SUMIF(absences!A:A,Top10_Absence_Salariés[[#This Row],[ID employé]],absences!E:E)</f>
        <v>1</v>
      </c>
    </row>
    <row r="53" spans="1:2" hidden="1" x14ac:dyDescent="0.25">
      <c r="A53" s="45" t="s">
        <v>207</v>
      </c>
      <c r="B53" s="44">
        <f>SUMIF(absences!A:A,Top10_Absence_Salariés[[#This Row],[ID employé]],absences!E:E)</f>
        <v>4</v>
      </c>
    </row>
    <row r="54" spans="1:2" hidden="1" x14ac:dyDescent="0.25">
      <c r="A54" s="45" t="s">
        <v>210</v>
      </c>
      <c r="B54" s="44">
        <f>SUMIF(absences!A:A,Top10_Absence_Salariés[[#This Row],[ID employé]],absences!E:E)</f>
        <v>2</v>
      </c>
    </row>
    <row r="55" spans="1:2" hidden="1" x14ac:dyDescent="0.25">
      <c r="A55" s="45" t="s">
        <v>212</v>
      </c>
      <c r="B55" s="44">
        <f>SUMIF(absences!A:A,Top10_Absence_Salariés[[#This Row],[ID employé]],absences!E:E)</f>
        <v>9</v>
      </c>
    </row>
    <row r="56" spans="1:2" hidden="1" x14ac:dyDescent="0.25">
      <c r="A56" s="45" t="s">
        <v>214</v>
      </c>
      <c r="B56" s="44">
        <f>SUMIF(absences!A:A,Top10_Absence_Salariés[[#This Row],[ID employé]],absences!E:E)</f>
        <v>9</v>
      </c>
    </row>
    <row r="57" spans="1:2" hidden="1" x14ac:dyDescent="0.25">
      <c r="A57" s="45" t="s">
        <v>217</v>
      </c>
      <c r="B57" s="44">
        <f>SUMIF(absences!A:A,Top10_Absence_Salariés[[#This Row],[ID employé]],absences!E:E)</f>
        <v>17</v>
      </c>
    </row>
    <row r="58" spans="1:2" hidden="1" x14ac:dyDescent="0.25">
      <c r="A58" s="45" t="s">
        <v>220</v>
      </c>
      <c r="B58" s="44">
        <f>SUMIF(absences!A:A,Top10_Absence_Salariés[[#This Row],[ID employé]],absences!E:E)</f>
        <v>13</v>
      </c>
    </row>
    <row r="59" spans="1:2" hidden="1" x14ac:dyDescent="0.25">
      <c r="A59" s="45" t="s">
        <v>225</v>
      </c>
      <c r="B59" s="44">
        <f>SUMIF(absences!A:A,Top10_Absence_Salariés[[#This Row],[ID employé]],absences!E:E)</f>
        <v>8</v>
      </c>
    </row>
    <row r="60" spans="1:2" hidden="1" x14ac:dyDescent="0.25">
      <c r="A60" s="45" t="s">
        <v>227</v>
      </c>
      <c r="B60" s="44">
        <f>SUMIF(absences!A:A,Top10_Absence_Salariés[[#This Row],[ID employé]],absences!E:E)</f>
        <v>17</v>
      </c>
    </row>
    <row r="61" spans="1:2" hidden="1" x14ac:dyDescent="0.25">
      <c r="A61" s="45" t="s">
        <v>228</v>
      </c>
      <c r="B61" s="44">
        <f>SUMIF(absences!A:A,Top10_Absence_Salariés[[#This Row],[ID employé]],absences!E:E)</f>
        <v>11</v>
      </c>
    </row>
    <row r="62" spans="1:2" hidden="1" x14ac:dyDescent="0.25">
      <c r="A62" s="45" t="s">
        <v>231</v>
      </c>
      <c r="B62" s="44">
        <f>SUMIF(absences!A:A,Top10_Absence_Salariés[[#This Row],[ID employé]],absences!E:E)</f>
        <v>2</v>
      </c>
    </row>
    <row r="63" spans="1:2" x14ac:dyDescent="0.25">
      <c r="A63" s="45" t="s">
        <v>177</v>
      </c>
      <c r="B63" s="44">
        <f>SUMIF(absences!A:A,Top10_Absence_Salariés[[#This Row],[ID employé]],absences!E:E)</f>
        <v>21</v>
      </c>
    </row>
    <row r="64" spans="1:2" hidden="1" x14ac:dyDescent="0.25">
      <c r="A64" s="45" t="s">
        <v>237</v>
      </c>
      <c r="B64" s="44">
        <f>SUMIF(absences!A:A,Top10_Absence_Salariés[[#This Row],[ID employé]],absences!E:E)</f>
        <v>4</v>
      </c>
    </row>
    <row r="65" spans="1:2" hidden="1" x14ac:dyDescent="0.25">
      <c r="A65" s="45" t="s">
        <v>238</v>
      </c>
      <c r="B65" s="44">
        <f>SUMIF(absences!A:A,Top10_Absence_Salariés[[#This Row],[ID employé]],absences!E:E)</f>
        <v>3</v>
      </c>
    </row>
    <row r="66" spans="1:2" hidden="1" x14ac:dyDescent="0.25">
      <c r="A66" s="45" t="s">
        <v>240</v>
      </c>
      <c r="B66" s="44">
        <f>SUMIF(absences!A:A,Top10_Absence_Salariés[[#This Row],[ID employé]],absences!E:E)</f>
        <v>8</v>
      </c>
    </row>
    <row r="67" spans="1:2" hidden="1" x14ac:dyDescent="0.25">
      <c r="A67" s="45" t="s">
        <v>246</v>
      </c>
      <c r="B67" s="44">
        <f>SUMIF(absences!A:A,Top10_Absence_Salariés[[#This Row],[ID employé]],absences!E:E)</f>
        <v>10</v>
      </c>
    </row>
    <row r="68" spans="1:2" hidden="1" x14ac:dyDescent="0.25">
      <c r="A68" s="45" t="s">
        <v>249</v>
      </c>
      <c r="B68" s="44">
        <f>SUMIF(absences!A:A,Top10_Absence_Salariés[[#This Row],[ID employé]],absences!E:E)</f>
        <v>11</v>
      </c>
    </row>
    <row r="69" spans="1:2" hidden="1" x14ac:dyDescent="0.25">
      <c r="A69" s="45" t="s">
        <v>258</v>
      </c>
      <c r="B69" s="44">
        <f>SUMIF(absences!A:A,Top10_Absence_Salariés[[#This Row],[ID employé]],absences!E:E)</f>
        <v>6</v>
      </c>
    </row>
    <row r="70" spans="1:2" hidden="1" x14ac:dyDescent="0.25">
      <c r="A70" s="45" t="s">
        <v>265</v>
      </c>
      <c r="B70" s="44">
        <f>SUMIF(absences!A:A,Top10_Absence_Salariés[[#This Row],[ID employé]],absences!E:E)</f>
        <v>6</v>
      </c>
    </row>
    <row r="71" spans="1:2" hidden="1" x14ac:dyDescent="0.25">
      <c r="A71" s="45" t="s">
        <v>267</v>
      </c>
      <c r="B71" s="44">
        <f>SUMIF(absences!A:A,Top10_Absence_Salariés[[#This Row],[ID employé]],absences!E:E)</f>
        <v>5</v>
      </c>
    </row>
    <row r="72" spans="1:2" hidden="1" x14ac:dyDescent="0.25">
      <c r="A72" s="45" t="s">
        <v>269</v>
      </c>
      <c r="B72" s="44">
        <f>SUMIF(absences!A:A,Top10_Absence_Salariés[[#This Row],[ID employé]],absences!E:E)</f>
        <v>12</v>
      </c>
    </row>
    <row r="73" spans="1:2" hidden="1" x14ac:dyDescent="0.25">
      <c r="A73" s="45" t="s">
        <v>270</v>
      </c>
      <c r="B73" s="44">
        <f>SUMIF(absences!A:A,Top10_Absence_Salariés[[#This Row],[ID employé]],absences!E:E)</f>
        <v>11</v>
      </c>
    </row>
    <row r="74" spans="1:2" hidden="1" x14ac:dyDescent="0.25">
      <c r="A74" s="45" t="s">
        <v>273</v>
      </c>
      <c r="B74" s="44">
        <f>SUMIF(absences!A:A,Top10_Absence_Salariés[[#This Row],[ID employé]],absences!E:E)</f>
        <v>13</v>
      </c>
    </row>
    <row r="75" spans="1:2" hidden="1" x14ac:dyDescent="0.25">
      <c r="A75" s="45" t="s">
        <v>275</v>
      </c>
      <c r="B75" s="44">
        <f>SUMIF(absences!A:A,Top10_Absence_Salariés[[#This Row],[ID employé]],absences!E:E)</f>
        <v>3</v>
      </c>
    </row>
    <row r="76" spans="1:2" hidden="1" x14ac:dyDescent="0.25">
      <c r="A76" s="45" t="s">
        <v>277</v>
      </c>
      <c r="B76" s="44">
        <f>SUMIF(absences!A:A,Top10_Absence_Salariés[[#This Row],[ID employé]],absences!E:E)</f>
        <v>12</v>
      </c>
    </row>
    <row r="77" spans="1:2" hidden="1" x14ac:dyDescent="0.25">
      <c r="A77" s="45" t="s">
        <v>280</v>
      </c>
      <c r="B77" s="44">
        <f>SUMIF(absences!A:A,Top10_Absence_Salariés[[#This Row],[ID employé]],absences!E:E)</f>
        <v>5</v>
      </c>
    </row>
    <row r="78" spans="1:2" hidden="1" x14ac:dyDescent="0.25">
      <c r="A78" s="45" t="s">
        <v>283</v>
      </c>
      <c r="B78" s="44">
        <f>SUMIF(absences!A:A,Top10_Absence_Salariés[[#This Row],[ID employé]],absences!E:E)</f>
        <v>3</v>
      </c>
    </row>
    <row r="79" spans="1:2" hidden="1" x14ac:dyDescent="0.25">
      <c r="A79" s="45" t="s">
        <v>297</v>
      </c>
      <c r="B79" s="44">
        <f>SUMIF(absences!A:A,Top10_Absence_Salariés[[#This Row],[ID employé]],absences!E:E)</f>
        <v>5</v>
      </c>
    </row>
    <row r="80" spans="1:2" hidden="1" x14ac:dyDescent="0.25">
      <c r="A80" s="45" t="s">
        <v>299</v>
      </c>
      <c r="B80" s="44">
        <f>SUMIF(absences!A:A,Top10_Absence_Salariés[[#This Row],[ID employé]],absences!E:E)</f>
        <v>10</v>
      </c>
    </row>
    <row r="81" spans="1:2" hidden="1" x14ac:dyDescent="0.25">
      <c r="A81" s="45" t="s">
        <v>302</v>
      </c>
      <c r="B81" s="44">
        <f>SUMIF(absences!A:A,Top10_Absence_Salariés[[#This Row],[ID employé]],absences!E:E)</f>
        <v>7</v>
      </c>
    </row>
    <row r="82" spans="1:2" hidden="1" x14ac:dyDescent="0.25">
      <c r="A82" s="45" t="s">
        <v>311</v>
      </c>
      <c r="B82" s="44">
        <f>SUMIF(absences!A:A,Top10_Absence_Salariés[[#This Row],[ID employé]],absences!E:E)</f>
        <v>5</v>
      </c>
    </row>
    <row r="83" spans="1:2" hidden="1" x14ac:dyDescent="0.25">
      <c r="A83" s="45" t="s">
        <v>317</v>
      </c>
      <c r="B83" s="44">
        <f>SUMIF(absences!A:A,Top10_Absence_Salariés[[#This Row],[ID employé]],absences!E:E)</f>
        <v>3</v>
      </c>
    </row>
    <row r="84" spans="1:2" hidden="1" x14ac:dyDescent="0.25">
      <c r="A84" s="45" t="s">
        <v>320</v>
      </c>
      <c r="B84" s="44">
        <f>SUMIF(absences!A:A,Top10_Absence_Salariés[[#This Row],[ID employé]],absences!E:E)</f>
        <v>9</v>
      </c>
    </row>
    <row r="85" spans="1:2" hidden="1" x14ac:dyDescent="0.25">
      <c r="A85" s="45" t="s">
        <v>322</v>
      </c>
      <c r="B85" s="44">
        <f>SUMIF(absences!A:A,Top10_Absence_Salariés[[#This Row],[ID employé]],absences!E:E)</f>
        <v>2</v>
      </c>
    </row>
    <row r="86" spans="1:2" hidden="1" x14ac:dyDescent="0.25">
      <c r="A86" s="45" t="s">
        <v>324</v>
      </c>
      <c r="B86" s="44">
        <f>SUMIF(absences!A:A,Top10_Absence_Salariés[[#This Row],[ID employé]],absences!E:E)</f>
        <v>8</v>
      </c>
    </row>
    <row r="87" spans="1:2" x14ac:dyDescent="0.25">
      <c r="A87" s="45" t="s">
        <v>446</v>
      </c>
      <c r="B87" s="44">
        <f>SUMIF(absences!A:A,Top10_Absence_Salariés[[#This Row],[ID employé]],absences!E:E)</f>
        <v>21</v>
      </c>
    </row>
    <row r="88" spans="1:2" hidden="1" x14ac:dyDescent="0.25">
      <c r="A88" s="45" t="s">
        <v>330</v>
      </c>
      <c r="B88" s="44">
        <f>SUMIF(absences!A:A,Top10_Absence_Salariés[[#This Row],[ID employé]],absences!E:E)</f>
        <v>4</v>
      </c>
    </row>
    <row r="89" spans="1:2" hidden="1" x14ac:dyDescent="0.25">
      <c r="A89" s="45" t="s">
        <v>335</v>
      </c>
      <c r="B89" s="44">
        <f>SUMIF(absences!A:A,Top10_Absence_Salariés[[#This Row],[ID employé]],absences!E:E)</f>
        <v>1</v>
      </c>
    </row>
    <row r="90" spans="1:2" hidden="1" x14ac:dyDescent="0.25">
      <c r="A90" s="45" t="s">
        <v>337</v>
      </c>
      <c r="B90" s="44">
        <f>SUMIF(absences!A:A,Top10_Absence_Salariés[[#This Row],[ID employé]],absences!E:E)</f>
        <v>13</v>
      </c>
    </row>
    <row r="91" spans="1:2" hidden="1" x14ac:dyDescent="0.25">
      <c r="A91" s="45" t="s">
        <v>338</v>
      </c>
      <c r="B91" s="44">
        <f>SUMIF(absences!A:A,Top10_Absence_Salariés[[#This Row],[ID employé]],absences!E:E)</f>
        <v>2</v>
      </c>
    </row>
    <row r="92" spans="1:2" hidden="1" x14ac:dyDescent="0.25">
      <c r="A92" s="45" t="s">
        <v>340</v>
      </c>
      <c r="B92" s="44">
        <f>SUMIF(absences!A:A,Top10_Absence_Salariés[[#This Row],[ID employé]],absences!E:E)</f>
        <v>5</v>
      </c>
    </row>
    <row r="93" spans="1:2" hidden="1" x14ac:dyDescent="0.25">
      <c r="A93" s="45" t="s">
        <v>343</v>
      </c>
      <c r="B93" s="44">
        <f>SUMIF(absences!A:A,Top10_Absence_Salariés[[#This Row],[ID employé]],absences!E:E)</f>
        <v>11</v>
      </c>
    </row>
    <row r="94" spans="1:2" hidden="1" x14ac:dyDescent="0.25">
      <c r="A94" s="45" t="s">
        <v>346</v>
      </c>
      <c r="B94" s="44">
        <f>SUMIF(absences!A:A,Top10_Absence_Salariés[[#This Row],[ID employé]],absences!E:E)</f>
        <v>16</v>
      </c>
    </row>
    <row r="95" spans="1:2" hidden="1" x14ac:dyDescent="0.25">
      <c r="A95" s="45" t="s">
        <v>349</v>
      </c>
      <c r="B95" s="44">
        <f>SUMIF(absences!A:A,Top10_Absence_Salariés[[#This Row],[ID employé]],absences!E:E)</f>
        <v>8</v>
      </c>
    </row>
    <row r="96" spans="1:2" hidden="1" x14ac:dyDescent="0.25">
      <c r="A96" s="45" t="s">
        <v>354</v>
      </c>
      <c r="B96" s="44">
        <f>SUMIF(absences!A:A,Top10_Absence_Salariés[[#This Row],[ID employé]],absences!E:E)</f>
        <v>2</v>
      </c>
    </row>
    <row r="97" spans="1:2" hidden="1" x14ac:dyDescent="0.25">
      <c r="A97" s="45" t="s">
        <v>356</v>
      </c>
      <c r="B97" s="44">
        <f>SUMIF(absences!A:A,Top10_Absence_Salariés[[#This Row],[ID employé]],absences!E:E)</f>
        <v>2</v>
      </c>
    </row>
    <row r="98" spans="1:2" x14ac:dyDescent="0.25">
      <c r="A98" s="45" t="s">
        <v>196</v>
      </c>
      <c r="B98" s="44">
        <f>SUMIF(absences!A:A,Top10_Absence_Salariés[[#This Row],[ID employé]],absences!E:E)</f>
        <v>20</v>
      </c>
    </row>
    <row r="99" spans="1:2" hidden="1" x14ac:dyDescent="0.25">
      <c r="A99" s="45" t="s">
        <v>364</v>
      </c>
      <c r="B99" s="44">
        <f>SUMIF(absences!A:A,Top10_Absence_Salariés[[#This Row],[ID employé]],absences!E:E)</f>
        <v>8</v>
      </c>
    </row>
    <row r="100" spans="1:2" hidden="1" x14ac:dyDescent="0.25">
      <c r="A100" s="45" t="s">
        <v>369</v>
      </c>
      <c r="B100" s="44">
        <f>SUMIF(absences!A:A,Top10_Absence_Salariés[[#This Row],[ID employé]],absences!E:E)</f>
        <v>1</v>
      </c>
    </row>
    <row r="101" spans="1:2" hidden="1" x14ac:dyDescent="0.25">
      <c r="A101" s="45" t="s">
        <v>371</v>
      </c>
      <c r="B101" s="44">
        <f>SUMIF(absences!A:A,Top10_Absence_Salariés[[#This Row],[ID employé]],absences!E:E)</f>
        <v>11</v>
      </c>
    </row>
    <row r="102" spans="1:2" hidden="1" x14ac:dyDescent="0.25">
      <c r="A102" s="45" t="s">
        <v>373</v>
      </c>
      <c r="B102" s="44">
        <f>SUMIF(absences!A:A,Top10_Absence_Salariés[[#This Row],[ID employé]],absences!E:E)</f>
        <v>5</v>
      </c>
    </row>
    <row r="103" spans="1:2" hidden="1" x14ac:dyDescent="0.25">
      <c r="A103" s="45" t="s">
        <v>380</v>
      </c>
      <c r="B103" s="44">
        <f>SUMIF(absences!A:A,Top10_Absence_Salariés[[#This Row],[ID employé]],absences!E:E)</f>
        <v>9</v>
      </c>
    </row>
    <row r="104" spans="1:2" hidden="1" x14ac:dyDescent="0.25">
      <c r="A104" s="45" t="s">
        <v>383</v>
      </c>
      <c r="B104" s="44">
        <f>SUMIF(absences!A:A,Top10_Absence_Salariés[[#This Row],[ID employé]],absences!E:E)</f>
        <v>9</v>
      </c>
    </row>
    <row r="105" spans="1:2" hidden="1" x14ac:dyDescent="0.25">
      <c r="A105" s="45" t="s">
        <v>385</v>
      </c>
      <c r="B105" s="44">
        <f>SUMIF(absences!A:A,Top10_Absence_Salariés[[#This Row],[ID employé]],absences!E:E)</f>
        <v>9</v>
      </c>
    </row>
    <row r="106" spans="1:2" hidden="1" x14ac:dyDescent="0.25">
      <c r="A106" s="45" t="s">
        <v>388</v>
      </c>
      <c r="B106" s="44">
        <f>SUMIF(absences!A:A,Top10_Absence_Salariés[[#This Row],[ID employé]],absences!E:E)</f>
        <v>1</v>
      </c>
    </row>
    <row r="107" spans="1:2" hidden="1" x14ac:dyDescent="0.25">
      <c r="A107" s="45" t="s">
        <v>391</v>
      </c>
      <c r="B107" s="44">
        <f>SUMIF(absences!A:A,Top10_Absence_Salariés[[#This Row],[ID employé]],absences!E:E)</f>
        <v>1</v>
      </c>
    </row>
    <row r="108" spans="1:2" hidden="1" x14ac:dyDescent="0.25">
      <c r="A108" s="45" t="s">
        <v>394</v>
      </c>
      <c r="B108" s="44">
        <f>SUMIF(absences!A:A,Top10_Absence_Salariés[[#This Row],[ID employé]],absences!E:E)</f>
        <v>18</v>
      </c>
    </row>
    <row r="109" spans="1:2" hidden="1" x14ac:dyDescent="0.25">
      <c r="A109" s="45" t="s">
        <v>398</v>
      </c>
      <c r="B109" s="44">
        <f>SUMIF(absences!A:A,Top10_Absence_Salariés[[#This Row],[ID employé]],absences!E:E)</f>
        <v>13</v>
      </c>
    </row>
    <row r="110" spans="1:2" hidden="1" x14ac:dyDescent="0.25">
      <c r="A110" s="45" t="s">
        <v>400</v>
      </c>
      <c r="B110" s="44">
        <f>SUMIF(absences!A:A,Top10_Absence_Salariés[[#This Row],[ID employé]],absences!E:E)</f>
        <v>2</v>
      </c>
    </row>
    <row r="111" spans="1:2" hidden="1" x14ac:dyDescent="0.25">
      <c r="A111" s="45" t="s">
        <v>405</v>
      </c>
      <c r="B111" s="44">
        <f>SUMIF(absences!A:A,Top10_Absence_Salariés[[#This Row],[ID employé]],absences!E:E)</f>
        <v>7</v>
      </c>
    </row>
    <row r="112" spans="1:2" hidden="1" x14ac:dyDescent="0.25">
      <c r="A112" s="45" t="s">
        <v>407</v>
      </c>
      <c r="B112" s="44">
        <f>SUMIF(absences!A:A,Top10_Absence_Salariés[[#This Row],[ID employé]],absences!E:E)</f>
        <v>2</v>
      </c>
    </row>
    <row r="113" spans="1:2" hidden="1" x14ac:dyDescent="0.25">
      <c r="A113" s="45" t="s">
        <v>413</v>
      </c>
      <c r="B113" s="44">
        <f>SUMIF(absences!A:A,Top10_Absence_Salariés[[#This Row],[ID employé]],absences!E:E)</f>
        <v>9</v>
      </c>
    </row>
    <row r="114" spans="1:2" hidden="1" x14ac:dyDescent="0.25">
      <c r="A114" s="45" t="s">
        <v>416</v>
      </c>
      <c r="B114" s="44">
        <f>SUMIF(absences!A:A,Top10_Absence_Salariés[[#This Row],[ID employé]],absences!E:E)</f>
        <v>5</v>
      </c>
    </row>
    <row r="115" spans="1:2" hidden="1" x14ac:dyDescent="0.25">
      <c r="A115" s="45" t="s">
        <v>418</v>
      </c>
      <c r="B115" s="44">
        <f>SUMIF(absences!A:A,Top10_Absence_Salariés[[#This Row],[ID employé]],absences!E:E)</f>
        <v>6</v>
      </c>
    </row>
    <row r="116" spans="1:2" hidden="1" x14ac:dyDescent="0.25">
      <c r="A116" s="45" t="s">
        <v>419</v>
      </c>
      <c r="B116" s="44">
        <f>SUMIF(absences!A:A,Top10_Absence_Salariés[[#This Row],[ID employé]],absences!E:E)</f>
        <v>1</v>
      </c>
    </row>
    <row r="117" spans="1:2" hidden="1" x14ac:dyDescent="0.25">
      <c r="A117" s="45" t="s">
        <v>423</v>
      </c>
      <c r="B117" s="44">
        <f>SUMIF(absences!A:A,Top10_Absence_Salariés[[#This Row],[ID employé]],absences!E:E)</f>
        <v>11</v>
      </c>
    </row>
    <row r="118" spans="1:2" hidden="1" x14ac:dyDescent="0.25">
      <c r="A118" s="45" t="s">
        <v>424</v>
      </c>
      <c r="B118" s="44">
        <f>SUMIF(absences!A:A,Top10_Absence_Salariés[[#This Row],[ID employé]],absences!E:E)</f>
        <v>18</v>
      </c>
    </row>
    <row r="119" spans="1:2" hidden="1" x14ac:dyDescent="0.25">
      <c r="A119" s="45" t="s">
        <v>426</v>
      </c>
      <c r="B119" s="44">
        <f>SUMIF(absences!A:A,Top10_Absence_Salariés[[#This Row],[ID employé]],absences!E:E)</f>
        <v>9</v>
      </c>
    </row>
    <row r="120" spans="1:2" hidden="1" x14ac:dyDescent="0.25">
      <c r="A120" s="45" t="s">
        <v>428</v>
      </c>
      <c r="B120" s="44">
        <f>SUMIF(absences!A:A,Top10_Absence_Salariés[[#This Row],[ID employé]],absences!E:E)</f>
        <v>10</v>
      </c>
    </row>
    <row r="121" spans="1:2" hidden="1" x14ac:dyDescent="0.25">
      <c r="A121" s="45" t="s">
        <v>430</v>
      </c>
      <c r="B121" s="44">
        <f>SUMIF(absences!A:A,Top10_Absence_Salariés[[#This Row],[ID employé]],absences!E:E)</f>
        <v>4</v>
      </c>
    </row>
    <row r="122" spans="1:2" hidden="1" x14ac:dyDescent="0.25">
      <c r="A122" s="45" t="s">
        <v>435</v>
      </c>
      <c r="B122" s="44">
        <f>SUMIF(absences!A:A,Top10_Absence_Salariés[[#This Row],[ID employé]],absences!E:E)</f>
        <v>13</v>
      </c>
    </row>
    <row r="123" spans="1:2" hidden="1" x14ac:dyDescent="0.25">
      <c r="A123" s="45" t="s">
        <v>436</v>
      </c>
      <c r="B123" s="44">
        <f>SUMIF(absences!A:A,Top10_Absence_Salariés[[#This Row],[ID employé]],absences!E:E)</f>
        <v>2</v>
      </c>
    </row>
    <row r="124" spans="1:2" hidden="1" x14ac:dyDescent="0.25">
      <c r="A124" s="45" t="s">
        <v>443</v>
      </c>
      <c r="B124" s="44">
        <f>SUMIF(absences!A:A,Top10_Absence_Salariés[[#This Row],[ID employé]],absences!E:E)</f>
        <v>12</v>
      </c>
    </row>
    <row r="125" spans="1:2" x14ac:dyDescent="0.25">
      <c r="A125" s="45" t="s">
        <v>109</v>
      </c>
      <c r="B125" s="44">
        <f>SUMIF(absences!A:A,Top10_Absence_Salariés[[#This Row],[ID employé]],absences!E:E)</f>
        <v>19</v>
      </c>
    </row>
    <row r="126" spans="1:2" hidden="1" x14ac:dyDescent="0.25">
      <c r="A126" s="45" t="s">
        <v>447</v>
      </c>
      <c r="B126" s="44">
        <f>SUMIF(absences!A:A,Top10_Absence_Salariés[[#This Row],[ID employé]],absences!E:E)</f>
        <v>3</v>
      </c>
    </row>
    <row r="127" spans="1:2" hidden="1" x14ac:dyDescent="0.25">
      <c r="A127" s="45" t="s">
        <v>448</v>
      </c>
      <c r="B127" s="44">
        <f>SUMIF(absences!A:A,Top10_Absence_Salariés[[#This Row],[ID employé]],absences!E:E)</f>
        <v>6</v>
      </c>
    </row>
    <row r="128" spans="1:2" hidden="1" x14ac:dyDescent="0.25">
      <c r="A128" s="45" t="s">
        <v>451</v>
      </c>
      <c r="B128" s="44">
        <f>SUMIF(absences!A:A,Top10_Absence_Salariés[[#This Row],[ID employé]],absences!E:E)</f>
        <v>4</v>
      </c>
    </row>
    <row r="129" spans="1:2" hidden="1" x14ac:dyDescent="0.25">
      <c r="A129" s="45" t="s">
        <v>453</v>
      </c>
      <c r="B129" s="44">
        <f>SUMIF(absences!A:A,Top10_Absence_Salariés[[#This Row],[ID employé]],absences!E:E)</f>
        <v>10</v>
      </c>
    </row>
    <row r="130" spans="1:2" hidden="1" x14ac:dyDescent="0.25">
      <c r="A130" s="45" t="s">
        <v>454</v>
      </c>
      <c r="B130" s="44">
        <f>SUMIF(absences!A:A,Top10_Absence_Salariés[[#This Row],[ID employé]],absences!E:E)</f>
        <v>11</v>
      </c>
    </row>
    <row r="131" spans="1:2" hidden="1" x14ac:dyDescent="0.25">
      <c r="A131" s="45" t="s">
        <v>455</v>
      </c>
      <c r="B131" s="44">
        <f>SUMIF(absences!A:A,Top10_Absence_Salariés[[#This Row],[ID employé]],absences!E:E)</f>
        <v>3</v>
      </c>
    </row>
    <row r="132" spans="1:2" hidden="1" x14ac:dyDescent="0.25">
      <c r="A132" s="45" t="s">
        <v>459</v>
      </c>
      <c r="B132" s="44">
        <f>SUMIF(absences!A:A,Top10_Absence_Salariés[[#This Row],[ID employé]],absences!E:E)</f>
        <v>15</v>
      </c>
    </row>
    <row r="133" spans="1:2" hidden="1" x14ac:dyDescent="0.25">
      <c r="A133" s="45" t="s">
        <v>463</v>
      </c>
      <c r="B133" s="44">
        <f>SUMIF(absences!A:A,Top10_Absence_Salariés[[#This Row],[ID employé]],absences!E:E)</f>
        <v>6</v>
      </c>
    </row>
    <row r="134" spans="1:2" hidden="1" x14ac:dyDescent="0.25">
      <c r="A134" s="45" t="s">
        <v>465</v>
      </c>
      <c r="B134" s="44">
        <f>SUMIF(absences!A:A,Top10_Absence_Salariés[[#This Row],[ID employé]],absences!E:E)</f>
        <v>10</v>
      </c>
    </row>
    <row r="135" spans="1:2" hidden="1" x14ac:dyDescent="0.25">
      <c r="A135" s="45" t="s">
        <v>467</v>
      </c>
      <c r="B135" s="44">
        <f>SUMIF(absences!A:A,Top10_Absence_Salariés[[#This Row],[ID employé]],absences!E:E)</f>
        <v>12</v>
      </c>
    </row>
    <row r="136" spans="1:2" hidden="1" x14ac:dyDescent="0.25">
      <c r="A136" s="45" t="s">
        <v>468</v>
      </c>
      <c r="B136" s="44">
        <f>SUMIF(absences!A:A,Top10_Absence_Salariés[[#This Row],[ID employé]],absences!E:E)</f>
        <v>4</v>
      </c>
    </row>
    <row r="137" spans="1:2" hidden="1" x14ac:dyDescent="0.25">
      <c r="A137" s="45" t="s">
        <v>470</v>
      </c>
      <c r="B137" s="44">
        <f>SUMIF(absences!A:A,Top10_Absence_Salariés[[#This Row],[ID employé]],absences!E:E)</f>
        <v>1</v>
      </c>
    </row>
    <row r="138" spans="1:2" hidden="1" x14ac:dyDescent="0.25">
      <c r="A138" s="45" t="s">
        <v>471</v>
      </c>
      <c r="B138" s="44">
        <f>SUMIF(absences!A:A,Top10_Absence_Salariés[[#This Row],[ID employé]],absences!E:E)</f>
        <v>11</v>
      </c>
    </row>
    <row r="139" spans="1:2" hidden="1" x14ac:dyDescent="0.25">
      <c r="A139" s="45" t="s">
        <v>473</v>
      </c>
      <c r="B139" s="44">
        <f>SUMIF(absences!A:A,Top10_Absence_Salariés[[#This Row],[ID employé]],absences!E:E)</f>
        <v>5</v>
      </c>
    </row>
    <row r="140" spans="1:2" hidden="1" x14ac:dyDescent="0.25">
      <c r="A140" s="45" t="s">
        <v>474</v>
      </c>
      <c r="B140" s="44">
        <f>SUMIF(absences!A:A,Top10_Absence_Salariés[[#This Row],[ID employé]],absences!E:E)</f>
        <v>13</v>
      </c>
    </row>
    <row r="141" spans="1:2" hidden="1" x14ac:dyDescent="0.25">
      <c r="A141" s="45" t="s">
        <v>475</v>
      </c>
      <c r="B141" s="44">
        <f>SUMIF(absences!A:A,Top10_Absence_Salariés[[#This Row],[ID employé]],absences!E:E)</f>
        <v>3</v>
      </c>
    </row>
    <row r="142" spans="1:2" hidden="1" x14ac:dyDescent="0.25">
      <c r="A142" s="45" t="s">
        <v>478</v>
      </c>
      <c r="B142" s="44">
        <f>SUMIF(absences!A:A,Top10_Absence_Salariés[[#This Row],[ID employé]],absences!E:E)</f>
        <v>6</v>
      </c>
    </row>
    <row r="143" spans="1:2" hidden="1" x14ac:dyDescent="0.25">
      <c r="A143" s="45" t="s">
        <v>481</v>
      </c>
      <c r="B143" s="44">
        <f>SUMIF(absences!A:A,Top10_Absence_Salariés[[#This Row],[ID employé]],absences!E:E)</f>
        <v>11</v>
      </c>
    </row>
    <row r="144" spans="1:2" hidden="1" x14ac:dyDescent="0.25">
      <c r="A144" s="45" t="s">
        <v>482</v>
      </c>
      <c r="B144" s="44">
        <f>SUMIF(absences!A:A,Top10_Absence_Salariés[[#This Row],[ID employé]],absences!E:E)</f>
        <v>13</v>
      </c>
    </row>
    <row r="145" spans="1:2" hidden="1" x14ac:dyDescent="0.25">
      <c r="A145" s="45" t="s">
        <v>486</v>
      </c>
      <c r="B145" s="44">
        <f>SUMIF(absences!A:A,Top10_Absence_Salariés[[#This Row],[ID employé]],absences!E:E)</f>
        <v>12</v>
      </c>
    </row>
    <row r="146" spans="1:2" hidden="1" x14ac:dyDescent="0.25">
      <c r="A146" s="45" t="s">
        <v>489</v>
      </c>
      <c r="B146" s="44">
        <f>SUMIF(absences!A:A,Top10_Absence_Salariés[[#This Row],[ID employé]],absences!E:E)</f>
        <v>7</v>
      </c>
    </row>
    <row r="147" spans="1:2" x14ac:dyDescent="0.25">
      <c r="A147" s="45" t="s">
        <v>327</v>
      </c>
      <c r="B147" s="44">
        <f>SUMIF(absences!A:A,Top10_Absence_Salariés[[#This Row],[ID employé]],absences!E:E)</f>
        <v>19</v>
      </c>
    </row>
    <row r="148" spans="1:2" hidden="1" x14ac:dyDescent="0.25">
      <c r="A148" s="45" t="s">
        <v>494</v>
      </c>
      <c r="B148" s="44">
        <f>SUMIF(absences!A:A,Top10_Absence_Salariés[[#This Row],[ID employé]],absences!E:E)</f>
        <v>8</v>
      </c>
    </row>
    <row r="149" spans="1:2" hidden="1" x14ac:dyDescent="0.25">
      <c r="A149" s="45" t="s">
        <v>497</v>
      </c>
      <c r="B149" s="44">
        <f>SUMIF(absences!A:A,Top10_Absence_Salariés[[#This Row],[ID employé]],absences!E:E)</f>
        <v>14</v>
      </c>
    </row>
    <row r="150" spans="1:2" hidden="1" x14ac:dyDescent="0.25">
      <c r="A150" s="45" t="s">
        <v>502</v>
      </c>
      <c r="B150" s="44">
        <f>SUMIF(absences!A:A,Top10_Absence_Salariés[[#This Row],[ID employé]],absences!E:E)</f>
        <v>4</v>
      </c>
    </row>
    <row r="151" spans="1:2" hidden="1" x14ac:dyDescent="0.25">
      <c r="A151" s="45" t="s">
        <v>503</v>
      </c>
      <c r="B151" s="44">
        <f>SUMIF(absences!A:A,Top10_Absence_Salariés[[#This Row],[ID employé]],absences!E:E)</f>
        <v>7</v>
      </c>
    </row>
    <row r="152" spans="1:2" hidden="1" x14ac:dyDescent="0.25">
      <c r="A152" s="45" t="s">
        <v>505</v>
      </c>
      <c r="B152" s="44">
        <f>SUMIF(absences!A:A,Top10_Absence_Salariés[[#This Row],[ID employé]],absences!E:E)</f>
        <v>3</v>
      </c>
    </row>
    <row r="153" spans="1:2" hidden="1" x14ac:dyDescent="0.25">
      <c r="A153" s="45" t="s">
        <v>507</v>
      </c>
      <c r="B153" s="44">
        <f>SUMIF(absences!A:A,Top10_Absence_Salariés[[#This Row],[ID employé]],absences!E:E)</f>
        <v>6</v>
      </c>
    </row>
    <row r="154" spans="1:2" hidden="1" x14ac:dyDescent="0.25">
      <c r="A154" s="45" t="s">
        <v>509</v>
      </c>
      <c r="B154" s="44">
        <f>SUMIF(absences!A:A,Top10_Absence_Salariés[[#This Row],[ID employé]],absences!E:E)</f>
        <v>7</v>
      </c>
    </row>
    <row r="155" spans="1:2" hidden="1" x14ac:dyDescent="0.25">
      <c r="A155" s="45" t="s">
        <v>514</v>
      </c>
      <c r="B155" s="44">
        <f>SUMIF(absences!A:A,Top10_Absence_Salariés[[#This Row],[ID employé]],absences!E:E)</f>
        <v>7</v>
      </c>
    </row>
    <row r="156" spans="1:2" hidden="1" x14ac:dyDescent="0.25">
      <c r="A156" s="45" t="s">
        <v>516</v>
      </c>
      <c r="B156" s="44">
        <f>SUMIF(absences!A:A,Top10_Absence_Salariés[[#This Row],[ID employé]],absences!E:E)</f>
        <v>5</v>
      </c>
    </row>
    <row r="157" spans="1:2" hidden="1" x14ac:dyDescent="0.25">
      <c r="A157" s="45" t="s">
        <v>518</v>
      </c>
      <c r="B157" s="44">
        <f>SUMIF(absences!A:A,Top10_Absence_Salariés[[#This Row],[ID employé]],absences!E:E)</f>
        <v>2</v>
      </c>
    </row>
    <row r="158" spans="1:2" hidden="1" x14ac:dyDescent="0.25">
      <c r="A158" s="45" t="s">
        <v>519</v>
      </c>
      <c r="B158" s="44">
        <f>SUMIF(absences!A:A,Top10_Absence_Salariés[[#This Row],[ID employé]],absences!E:E)</f>
        <v>10</v>
      </c>
    </row>
    <row r="159" spans="1:2" hidden="1" x14ac:dyDescent="0.25">
      <c r="A159" s="45" t="s">
        <v>522</v>
      </c>
      <c r="B159" s="44">
        <f>SUMIF(absences!A:A,Top10_Absence_Salariés[[#This Row],[ID employé]],absences!E:E)</f>
        <v>3</v>
      </c>
    </row>
    <row r="160" spans="1:2" hidden="1" x14ac:dyDescent="0.25">
      <c r="A160" s="45" t="s">
        <v>524</v>
      </c>
      <c r="B160" s="44">
        <f>SUMIF(absences!A:A,Top10_Absence_Salariés[[#This Row],[ID employé]],absences!E:E)</f>
        <v>1</v>
      </c>
    </row>
    <row r="161" spans="1:2" hidden="1" x14ac:dyDescent="0.25">
      <c r="A161" s="45" t="s">
        <v>526</v>
      </c>
      <c r="B161" s="44">
        <f>SUMIF(absences!A:A,Top10_Absence_Salariés[[#This Row],[ID employé]],absences!E:E)</f>
        <v>6</v>
      </c>
    </row>
    <row r="162" spans="1:2" hidden="1" x14ac:dyDescent="0.25">
      <c r="A162" s="45" t="s">
        <v>528</v>
      </c>
      <c r="B162" s="44">
        <f>SUMIF(absences!A:A,Top10_Absence_Salariés[[#This Row],[ID employé]],absences!E:E)</f>
        <v>2</v>
      </c>
    </row>
    <row r="163" spans="1:2" hidden="1" x14ac:dyDescent="0.25">
      <c r="A163" s="45" t="s">
        <v>530</v>
      </c>
      <c r="B163" s="44">
        <f>SUMIF(absences!A:A,Top10_Absence_Salariés[[#This Row],[ID employé]],absences!E:E)</f>
        <v>4</v>
      </c>
    </row>
    <row r="164" spans="1:2" hidden="1" x14ac:dyDescent="0.25">
      <c r="A164" s="45" t="s">
        <v>536</v>
      </c>
      <c r="B164" s="44">
        <f>SUMIF(absences!A:A,Top10_Absence_Salariés[[#This Row],[ID employé]],absences!E:E)</f>
        <v>8</v>
      </c>
    </row>
    <row r="165" spans="1:2" hidden="1" x14ac:dyDescent="0.25">
      <c r="A165" s="45" t="s">
        <v>537</v>
      </c>
      <c r="B165" s="44">
        <f>SUMIF(absences!A:A,Top10_Absence_Salariés[[#This Row],[ID employé]],absences!E:E)</f>
        <v>10</v>
      </c>
    </row>
    <row r="166" spans="1:2" hidden="1" x14ac:dyDescent="0.25">
      <c r="A166" s="45" t="s">
        <v>538</v>
      </c>
      <c r="B166" s="44">
        <f>SUMIF(absences!A:A,Top10_Absence_Salariés[[#This Row],[ID employé]],absences!E:E)</f>
        <v>2</v>
      </c>
    </row>
    <row r="167" spans="1:2" hidden="1" x14ac:dyDescent="0.25">
      <c r="A167" s="45" t="s">
        <v>540</v>
      </c>
      <c r="B167" s="44">
        <f>SUMIF(absences!A:A,Top10_Absence_Salariés[[#This Row],[ID employé]],absences!E:E)</f>
        <v>9</v>
      </c>
    </row>
    <row r="168" spans="1:2" hidden="1" x14ac:dyDescent="0.25">
      <c r="A168" s="45" t="s">
        <v>542</v>
      </c>
      <c r="B168" s="44">
        <f>SUMIF(absences!A:A,Top10_Absence_Salariés[[#This Row],[ID employé]],absences!E:E)</f>
        <v>7</v>
      </c>
    </row>
    <row r="169" spans="1:2" hidden="1" x14ac:dyDescent="0.25">
      <c r="A169" s="45" t="s">
        <v>544</v>
      </c>
      <c r="B169" s="44">
        <f>SUMIF(absences!A:A,Top10_Absence_Salariés[[#This Row],[ID employé]],absences!E:E)</f>
        <v>13</v>
      </c>
    </row>
    <row r="170" spans="1:2" hidden="1" x14ac:dyDescent="0.25">
      <c r="A170" s="45" t="s">
        <v>546</v>
      </c>
      <c r="B170" s="44">
        <f>SUMIF(absences!A:A,Top10_Absence_Salariés[[#This Row],[ID employé]],absences!E:E)</f>
        <v>11</v>
      </c>
    </row>
    <row r="171" spans="1:2" hidden="1" x14ac:dyDescent="0.25">
      <c r="A171" s="45" t="s">
        <v>551</v>
      </c>
      <c r="B171" s="44">
        <f>SUMIF(absences!A:A,Top10_Absence_Salariés[[#This Row],[ID employé]],absences!E:E)</f>
        <v>5</v>
      </c>
    </row>
    <row r="172" spans="1:2" hidden="1" x14ac:dyDescent="0.25">
      <c r="A172" s="45" t="s">
        <v>558</v>
      </c>
      <c r="B172" s="44">
        <f>SUMIF(absences!A:A,Top10_Absence_Salariés[[#This Row],[ID employé]],absences!E:E)</f>
        <v>9</v>
      </c>
    </row>
    <row r="173" spans="1:2" hidden="1" x14ac:dyDescent="0.25">
      <c r="A173" s="45" t="s">
        <v>560</v>
      </c>
      <c r="B173" s="44">
        <f>SUMIF(absences!A:A,Top10_Absence_Salariés[[#This Row],[ID employé]],absences!E:E)</f>
        <v>3</v>
      </c>
    </row>
    <row r="174" spans="1:2" hidden="1" x14ac:dyDescent="0.25">
      <c r="A174" s="45" t="s">
        <v>566</v>
      </c>
      <c r="B174" s="44">
        <f>SUMIF(absences!A:A,Top10_Absence_Salariés[[#This Row],[ID employé]],absences!E:E)</f>
        <v>6</v>
      </c>
    </row>
    <row r="175" spans="1:2" ht="15.75" thickBot="1" x14ac:dyDescent="0.3">
      <c r="A175" s="46" t="s">
        <v>491</v>
      </c>
      <c r="B175" s="47">
        <f>SUMIF(absences!A:A,Top10_Absence_Salariés[[#This Row],[ID employé]],absences!E:E)</f>
        <v>19</v>
      </c>
    </row>
    <row r="176" spans="1:2" hidden="1" x14ac:dyDescent="0.25">
      <c r="A176" s="40" t="s">
        <v>571</v>
      </c>
      <c r="B176">
        <f>SUMIF(absences!A:A,Top10_Absence_Salariés[[#This Row],[ID employé]],absences!E:E)</f>
        <v>2</v>
      </c>
    </row>
    <row r="177" spans="1:4" hidden="1" x14ac:dyDescent="0.25">
      <c r="A177" s="27" t="s">
        <v>581</v>
      </c>
      <c r="B177">
        <f>SUMIF(absences!A:A,Top10_Absence_Salariés[[#This Row],[ID employé]],absences!E:E)</f>
        <v>10</v>
      </c>
    </row>
    <row r="178" spans="1:4" hidden="1" x14ac:dyDescent="0.25">
      <c r="A178" s="27" t="s">
        <v>584</v>
      </c>
      <c r="B178">
        <f>SUMIF(absences!A:A,Top10_Absence_Salariés[[#This Row],[ID employé]],absences!E:E)</f>
        <v>11</v>
      </c>
    </row>
    <row r="179" spans="1:4" hidden="1" x14ac:dyDescent="0.25">
      <c r="A179" s="27" t="s">
        <v>587</v>
      </c>
      <c r="B179">
        <f>SUMIF(absences!A:A,Top10_Absence_Salariés[[#This Row],[ID employé]],absences!E:E)</f>
        <v>7</v>
      </c>
    </row>
    <row r="180" spans="1:4" hidden="1" x14ac:dyDescent="0.25">
      <c r="A180" s="27" t="s">
        <v>588</v>
      </c>
      <c r="B180">
        <f>SUMIF(absences!A:A,Top10_Absence_Salariés[[#This Row],[ID employé]],absences!E:E)</f>
        <v>2</v>
      </c>
    </row>
    <row r="181" spans="1:4" hidden="1" x14ac:dyDescent="0.25">
      <c r="A181" s="27" t="s">
        <v>591</v>
      </c>
      <c r="B181">
        <f>SUMIF(absences!A:A,Top10_Absence_Salariés[[#This Row],[ID employé]],absences!E:E)</f>
        <v>9</v>
      </c>
    </row>
    <row r="182" spans="1:4" hidden="1" x14ac:dyDescent="0.25">
      <c r="A182" s="27" t="s">
        <v>594</v>
      </c>
      <c r="B182">
        <f>SUMIF(absences!A:A,Top10_Absence_Salariés[[#This Row],[ID employé]],absences!E:E)</f>
        <v>2</v>
      </c>
    </row>
    <row r="183" spans="1:4" hidden="1" x14ac:dyDescent="0.25">
      <c r="A183" s="27" t="s">
        <v>597</v>
      </c>
      <c r="B183">
        <f>SUMIF(absences!A:A,Top10_Absence_Salariés[[#This Row],[ID employé]],absences!E:E)</f>
        <v>16</v>
      </c>
    </row>
    <row r="184" spans="1:4" hidden="1" x14ac:dyDescent="0.25">
      <c r="A184" s="27" t="s">
        <v>601</v>
      </c>
      <c r="B184">
        <f>SUMIF(absences!A:A,Top10_Absence_Salariés[[#This Row],[ID employé]],absences!E:E)</f>
        <v>3</v>
      </c>
    </row>
    <row r="185" spans="1:4" x14ac:dyDescent="0.25">
      <c r="A185" s="27"/>
    </row>
    <row r="187" spans="1:4" ht="15.75" thickBot="1" x14ac:dyDescent="0.3"/>
    <row r="188" spans="1:4" ht="18.75" x14ac:dyDescent="0.3">
      <c r="A188" s="78" t="s">
        <v>651</v>
      </c>
      <c r="B188" s="80"/>
      <c r="C188" s="80"/>
      <c r="D188" s="79"/>
    </row>
    <row r="189" spans="1:4" ht="15.75" thickBot="1" x14ac:dyDescent="0.3">
      <c r="A189" s="59" t="s">
        <v>7</v>
      </c>
      <c r="B189" s="48" t="s">
        <v>605</v>
      </c>
      <c r="C189" s="57" t="s">
        <v>653</v>
      </c>
      <c r="D189" s="60" t="s">
        <v>652</v>
      </c>
    </row>
    <row r="190" spans="1:4" ht="15.75" thickTop="1" x14ac:dyDescent="0.25">
      <c r="A190" s="61" t="s">
        <v>21</v>
      </c>
      <c r="B190" s="52">
        <v>45292</v>
      </c>
      <c r="C190" s="58">
        <f>SUMIFS(absences!E:E, absences!B:B, Taux_absentéisme_service_mois[[#This Row],[Service]], absences!C:C, Taux_absentéisme_service_mois[[#This Row],[Mois]])</f>
        <v>28</v>
      </c>
      <c r="D190" s="62">
        <f>C190/(COUNTIF(personel!H:H,Synthèse_Absences!A190)*20)</f>
        <v>3.5000000000000003E-2</v>
      </c>
    </row>
    <row r="191" spans="1:4" x14ac:dyDescent="0.25">
      <c r="A191" s="63" t="s">
        <v>21</v>
      </c>
      <c r="B191" s="53">
        <v>45323</v>
      </c>
      <c r="C191" s="58">
        <f>SUMIFS(absences!E:E, absences!B:B, Taux_absentéisme_service_mois[[#This Row],[Service]], absences!C:C, Taux_absentéisme_service_mois[[#This Row],[Mois]])</f>
        <v>31</v>
      </c>
      <c r="D191" s="62">
        <f>C191/(COUNTIF(personel!H:H,Synthèse_Absences!A191)*20)</f>
        <v>3.875E-2</v>
      </c>
    </row>
    <row r="192" spans="1:4" x14ac:dyDescent="0.25">
      <c r="A192" s="63" t="s">
        <v>21</v>
      </c>
      <c r="B192" s="53">
        <v>45352</v>
      </c>
      <c r="C192" s="58">
        <f>SUMIFS(absences!E:E, absences!B:B, Taux_absentéisme_service_mois[[#This Row],[Service]], absences!C:C, Taux_absentéisme_service_mois[[#This Row],[Mois]])</f>
        <v>14</v>
      </c>
      <c r="D192" s="62">
        <f>C192/(COUNTIF(personel!H:H,Synthèse_Absences!A192)*20)</f>
        <v>1.7500000000000002E-2</v>
      </c>
    </row>
    <row r="193" spans="1:4" x14ac:dyDescent="0.25">
      <c r="A193" s="63" t="s">
        <v>21</v>
      </c>
      <c r="B193" s="53">
        <v>45383</v>
      </c>
      <c r="C193" s="58">
        <f>SUMIFS(absences!E:E, absences!B:B, Taux_absentéisme_service_mois[[#This Row],[Service]], absences!C:C, Taux_absentéisme_service_mois[[#This Row],[Mois]])</f>
        <v>14</v>
      </c>
      <c r="D193" s="62">
        <f>C193/(COUNTIF(personel!H:H,Synthèse_Absences!A193)*20)</f>
        <v>1.7500000000000002E-2</v>
      </c>
    </row>
    <row r="194" spans="1:4" x14ac:dyDescent="0.25">
      <c r="A194" s="64" t="s">
        <v>21</v>
      </c>
      <c r="B194" s="54">
        <v>45413</v>
      </c>
      <c r="C194" s="50">
        <f>SUMIFS(absences!E:E, absences!B:B, Taux_absentéisme_service_mois[[#This Row],[Service]], absences!C:C, Taux_absentéisme_service_mois[[#This Row],[Mois]])</f>
        <v>39</v>
      </c>
      <c r="D194" s="65">
        <f>C194/(COUNTIF(personel!H:H,Synthèse_Absences!A194)*20)</f>
        <v>4.8750000000000002E-2</v>
      </c>
    </row>
    <row r="195" spans="1:4" x14ac:dyDescent="0.25">
      <c r="A195" s="64" t="s">
        <v>21</v>
      </c>
      <c r="B195" s="54">
        <v>45444</v>
      </c>
      <c r="C195" s="50">
        <f>SUMIFS(absences!E:E, absences!B:B, Taux_absentéisme_service_mois[[#This Row],[Service]], absences!C:C, Taux_absentéisme_service_mois[[#This Row],[Mois]])</f>
        <v>18</v>
      </c>
      <c r="D195" s="65">
        <f>C195/(COUNTIF(personel!H:H,Synthèse_Absences!A195)*20)</f>
        <v>2.2499999999999999E-2</v>
      </c>
    </row>
    <row r="196" spans="1:4" x14ac:dyDescent="0.25">
      <c r="A196" s="63" t="s">
        <v>21</v>
      </c>
      <c r="B196" s="53">
        <v>45474</v>
      </c>
      <c r="C196" s="50">
        <f>SUMIFS(absences!E:E, absences!B:B, Taux_absentéisme_service_mois[[#This Row],[Service]], absences!C:C, Taux_absentéisme_service_mois[[#This Row],[Mois]])</f>
        <v>23</v>
      </c>
      <c r="D196" s="65">
        <f>C196/(COUNTIF(personel!H:H,Synthèse_Absences!A196)*20)</f>
        <v>2.8750000000000001E-2</v>
      </c>
    </row>
    <row r="197" spans="1:4" x14ac:dyDescent="0.25">
      <c r="A197" s="63" t="s">
        <v>21</v>
      </c>
      <c r="B197" s="53">
        <v>45505</v>
      </c>
      <c r="C197" s="50">
        <f>SUMIFS(absences!E:E, absences!B:B, Taux_absentéisme_service_mois[[#This Row],[Service]], absences!C:C, Taux_absentéisme_service_mois[[#This Row],[Mois]])</f>
        <v>12</v>
      </c>
      <c r="D197" s="65">
        <f>C197/(COUNTIF(personel!H:H,Synthèse_Absences!A197)*20)</f>
        <v>1.4999999999999999E-2</v>
      </c>
    </row>
    <row r="198" spans="1:4" x14ac:dyDescent="0.25">
      <c r="A198" s="63" t="s">
        <v>21</v>
      </c>
      <c r="B198" s="53">
        <v>45536</v>
      </c>
      <c r="C198" s="50">
        <f>SUMIFS(absences!E:E, absences!B:B, Taux_absentéisme_service_mois[[#This Row],[Service]], absences!C:C, Taux_absentéisme_service_mois[[#This Row],[Mois]])</f>
        <v>45</v>
      </c>
      <c r="D198" s="65">
        <f>C198/(COUNTIF(personel!H:H,Synthèse_Absences!A198)*20)</f>
        <v>5.6250000000000001E-2</v>
      </c>
    </row>
    <row r="199" spans="1:4" x14ac:dyDescent="0.25">
      <c r="A199" s="64" t="s">
        <v>21</v>
      </c>
      <c r="B199" s="54">
        <v>45566</v>
      </c>
      <c r="C199" s="50">
        <f>SUMIFS(absences!E:E, absences!B:B, Taux_absentéisme_service_mois[[#This Row],[Service]], absences!C:C, Taux_absentéisme_service_mois[[#This Row],[Mois]])</f>
        <v>57</v>
      </c>
      <c r="D199" s="65">
        <f>C199/(COUNTIF(personel!H:H,Synthèse_Absences!A199)*20)</f>
        <v>7.1249999999999994E-2</v>
      </c>
    </row>
    <row r="200" spans="1:4" x14ac:dyDescent="0.25">
      <c r="A200" s="63" t="s">
        <v>21</v>
      </c>
      <c r="B200" s="53">
        <v>45597</v>
      </c>
      <c r="C200" s="50">
        <f>SUMIFS(absences!E:E, absences!B:B, Taux_absentéisme_service_mois[[#This Row],[Service]], absences!C:C, Taux_absentéisme_service_mois[[#This Row],[Mois]])</f>
        <v>30</v>
      </c>
      <c r="D200" s="65">
        <f>C200/(COUNTIF(personel!H:H,Synthèse_Absences!A200)*20)</f>
        <v>3.7499999999999999E-2</v>
      </c>
    </row>
    <row r="201" spans="1:4" x14ac:dyDescent="0.25">
      <c r="A201" s="63" t="s">
        <v>21</v>
      </c>
      <c r="B201" s="53">
        <v>45627</v>
      </c>
      <c r="C201" s="50">
        <f>SUMIFS(absences!E:E, absences!B:B, Taux_absentéisme_service_mois[[#This Row],[Service]], absences!C:C, Taux_absentéisme_service_mois[[#This Row],[Mois]])</f>
        <v>2</v>
      </c>
      <c r="D201" s="65">
        <f>C201/(COUNTIF(personel!H:H,Synthèse_Absences!A201)*20)</f>
        <v>2.5000000000000001E-3</v>
      </c>
    </row>
    <row r="202" spans="1:4" x14ac:dyDescent="0.25">
      <c r="A202" s="66" t="s">
        <v>49</v>
      </c>
      <c r="B202" s="55">
        <v>45292</v>
      </c>
      <c r="C202" s="51">
        <f>SUMIFS(absences!E:E, absences!B:B, Taux_absentéisme_service_mois[[#This Row],[Service]], absences!C:C, Taux_absentéisme_service_mois[[#This Row],[Mois]])</f>
        <v>12</v>
      </c>
      <c r="D202" s="67">
        <f>C202/(COUNTIF(personel!H:H,Synthèse_Absences!A202)*20)</f>
        <v>1.6666666666666666E-2</v>
      </c>
    </row>
    <row r="203" spans="1:4" x14ac:dyDescent="0.25">
      <c r="A203" s="68" t="s">
        <v>49</v>
      </c>
      <c r="B203" s="56">
        <v>45323</v>
      </c>
      <c r="C203" s="51">
        <f>SUMIFS(absences!E:E, absences!B:B, Taux_absentéisme_service_mois[[#This Row],[Service]], absences!C:C, Taux_absentéisme_service_mois[[#This Row],[Mois]])</f>
        <v>18</v>
      </c>
      <c r="D203" s="67">
        <f>C203/(COUNTIF(personel!H:H,Synthèse_Absences!A203)*20)</f>
        <v>2.5000000000000001E-2</v>
      </c>
    </row>
    <row r="204" spans="1:4" x14ac:dyDescent="0.25">
      <c r="A204" s="68" t="s">
        <v>49</v>
      </c>
      <c r="B204" s="56">
        <v>45352</v>
      </c>
      <c r="C204" s="51">
        <f>SUMIFS(absences!E:E, absences!B:B, Taux_absentéisme_service_mois[[#This Row],[Service]], absences!C:C, Taux_absentéisme_service_mois[[#This Row],[Mois]])</f>
        <v>10</v>
      </c>
      <c r="D204" s="67">
        <f>C204/(COUNTIF(personel!H:H,Synthèse_Absences!A204)*20)</f>
        <v>1.3888888888888888E-2</v>
      </c>
    </row>
    <row r="205" spans="1:4" x14ac:dyDescent="0.25">
      <c r="A205" s="66" t="s">
        <v>49</v>
      </c>
      <c r="B205" s="55">
        <v>45383</v>
      </c>
      <c r="C205" s="51">
        <f>SUMIFS(absences!E:E, absences!B:B, Taux_absentéisme_service_mois[[#This Row],[Service]], absences!C:C, Taux_absentéisme_service_mois[[#This Row],[Mois]])</f>
        <v>7</v>
      </c>
      <c r="D205" s="67">
        <f>C205/(COUNTIF(personel!H:H,Synthèse_Absences!A205)*20)</f>
        <v>9.7222222222222224E-3</v>
      </c>
    </row>
    <row r="206" spans="1:4" x14ac:dyDescent="0.25">
      <c r="A206" s="66" t="s">
        <v>49</v>
      </c>
      <c r="B206" s="55">
        <v>45413</v>
      </c>
      <c r="C206" s="51">
        <f>SUMIFS(absences!E:E, absences!B:B, Taux_absentéisme_service_mois[[#This Row],[Service]], absences!C:C, Taux_absentéisme_service_mois[[#This Row],[Mois]])</f>
        <v>54</v>
      </c>
      <c r="D206" s="67">
        <f>C206/(COUNTIF(personel!H:H,Synthèse_Absences!A206)*20)</f>
        <v>7.4999999999999997E-2</v>
      </c>
    </row>
    <row r="207" spans="1:4" x14ac:dyDescent="0.25">
      <c r="A207" s="66" t="s">
        <v>49</v>
      </c>
      <c r="B207" s="55">
        <v>45444</v>
      </c>
      <c r="C207" s="51">
        <f>SUMIFS(absences!E:E, absences!B:B, Taux_absentéisme_service_mois[[#This Row],[Service]], absences!C:C, Taux_absentéisme_service_mois[[#This Row],[Mois]])</f>
        <v>40</v>
      </c>
      <c r="D207" s="67">
        <f>C207/(COUNTIF(personel!H:H,Synthèse_Absences!A207)*20)</f>
        <v>5.5555555555555552E-2</v>
      </c>
    </row>
    <row r="208" spans="1:4" x14ac:dyDescent="0.25">
      <c r="A208" s="68" t="s">
        <v>49</v>
      </c>
      <c r="B208" s="56">
        <v>45474</v>
      </c>
      <c r="C208" s="51">
        <f>SUMIFS(absences!E:E, absences!B:B, Taux_absentéisme_service_mois[[#This Row],[Service]], absences!C:C, Taux_absentéisme_service_mois[[#This Row],[Mois]])</f>
        <v>26</v>
      </c>
      <c r="D208" s="67">
        <f>C208/(COUNTIF(personel!H:H,Synthèse_Absences!A208)*20)</f>
        <v>3.6111111111111108E-2</v>
      </c>
    </row>
    <row r="209" spans="1:4" x14ac:dyDescent="0.25">
      <c r="A209" s="68" t="s">
        <v>49</v>
      </c>
      <c r="B209" s="56">
        <v>45505</v>
      </c>
      <c r="C209" s="51">
        <f>SUMIFS(absences!E:E, absences!B:B, Taux_absentéisme_service_mois[[#This Row],[Service]], absences!C:C, Taux_absentéisme_service_mois[[#This Row],[Mois]])</f>
        <v>29</v>
      </c>
      <c r="D209" s="67">
        <f>C209/(COUNTIF(personel!H:H,Synthèse_Absences!A209)*20)</f>
        <v>4.027777777777778E-2</v>
      </c>
    </row>
    <row r="210" spans="1:4" x14ac:dyDescent="0.25">
      <c r="A210" s="68" t="s">
        <v>49</v>
      </c>
      <c r="B210" s="56">
        <v>45536</v>
      </c>
      <c r="C210" s="51">
        <f>SUMIFS(absences!E:E, absences!B:B, Taux_absentéisme_service_mois[[#This Row],[Service]], absences!C:C, Taux_absentéisme_service_mois[[#This Row],[Mois]])</f>
        <v>10</v>
      </c>
      <c r="D210" s="67">
        <f>C210/(COUNTIF(personel!H:H,Synthèse_Absences!A210)*20)</f>
        <v>1.3888888888888888E-2</v>
      </c>
    </row>
    <row r="211" spans="1:4" x14ac:dyDescent="0.25">
      <c r="A211" s="68" t="s">
        <v>49</v>
      </c>
      <c r="B211" s="56">
        <v>45566</v>
      </c>
      <c r="C211" s="51">
        <f>SUMIFS(absences!E:E, absences!B:B, Taux_absentéisme_service_mois[[#This Row],[Service]], absences!C:C, Taux_absentéisme_service_mois[[#This Row],[Mois]])</f>
        <v>18</v>
      </c>
      <c r="D211" s="67">
        <f>C211/(COUNTIF(personel!H:H,Synthèse_Absences!A211)*20)</f>
        <v>2.5000000000000001E-2</v>
      </c>
    </row>
    <row r="212" spans="1:4" x14ac:dyDescent="0.25">
      <c r="A212" s="68" t="s">
        <v>49</v>
      </c>
      <c r="B212" s="56">
        <v>45597</v>
      </c>
      <c r="C212" s="51">
        <f>SUMIFS(absences!E:E, absences!B:B, Taux_absentéisme_service_mois[[#This Row],[Service]], absences!C:C, Taux_absentéisme_service_mois[[#This Row],[Mois]])</f>
        <v>22</v>
      </c>
      <c r="D212" s="67">
        <f>C212/(COUNTIF(personel!H:H,Synthèse_Absences!A212)*20)</f>
        <v>3.0555555555555555E-2</v>
      </c>
    </row>
    <row r="213" spans="1:4" x14ac:dyDescent="0.25">
      <c r="A213" s="66" t="s">
        <v>49</v>
      </c>
      <c r="B213" s="55">
        <v>45627</v>
      </c>
      <c r="C213" s="51">
        <f>SUMIFS(absences!E:E, absences!B:B, Taux_absentéisme_service_mois[[#This Row],[Service]], absences!C:C, Taux_absentéisme_service_mois[[#This Row],[Mois]])</f>
        <v>5</v>
      </c>
      <c r="D213" s="67">
        <f>C213/(COUNTIF(personel!H:H,Synthèse_Absences!A213)*20)</f>
        <v>6.9444444444444441E-3</v>
      </c>
    </row>
    <row r="214" spans="1:4" x14ac:dyDescent="0.25">
      <c r="A214" s="63" t="s">
        <v>38</v>
      </c>
      <c r="B214" s="53">
        <v>45292</v>
      </c>
      <c r="C214" s="50">
        <f>SUMIFS(absences!E:E, absences!B:B, Taux_absentéisme_service_mois[[#This Row],[Service]], absences!C:C, Taux_absentéisme_service_mois[[#This Row],[Mois]])</f>
        <v>32</v>
      </c>
      <c r="D214" s="65">
        <f>C214/(COUNTIF(personel!H:H,Synthèse_Absences!A214)*20)</f>
        <v>0.04</v>
      </c>
    </row>
    <row r="215" spans="1:4" x14ac:dyDescent="0.25">
      <c r="A215" s="63" t="s">
        <v>38</v>
      </c>
      <c r="B215" s="53">
        <v>45323</v>
      </c>
      <c r="C215" s="50">
        <f>SUMIFS(absences!E:E, absences!B:B, Taux_absentéisme_service_mois[[#This Row],[Service]], absences!C:C, Taux_absentéisme_service_mois[[#This Row],[Mois]])</f>
        <v>4</v>
      </c>
      <c r="D215" s="65">
        <f>C215/(COUNTIF(personel!H:H,Synthèse_Absences!A215)*20)</f>
        <v>5.0000000000000001E-3</v>
      </c>
    </row>
    <row r="216" spans="1:4" x14ac:dyDescent="0.25">
      <c r="A216" s="64" t="s">
        <v>38</v>
      </c>
      <c r="B216" s="54">
        <v>45352</v>
      </c>
      <c r="C216" s="50">
        <f>SUMIFS(absences!E:E, absences!B:B, Taux_absentéisme_service_mois[[#This Row],[Service]], absences!C:C, Taux_absentéisme_service_mois[[#This Row],[Mois]])</f>
        <v>23</v>
      </c>
      <c r="D216" s="65">
        <f>C216/(COUNTIF(personel!H:H,Synthèse_Absences!A216)*20)</f>
        <v>2.8750000000000001E-2</v>
      </c>
    </row>
    <row r="217" spans="1:4" x14ac:dyDescent="0.25">
      <c r="A217" s="64" t="s">
        <v>38</v>
      </c>
      <c r="B217" s="54">
        <v>45383</v>
      </c>
      <c r="C217" s="50">
        <f>SUMIFS(absences!E:E, absences!B:B, Taux_absentéisme_service_mois[[#This Row],[Service]], absences!C:C, Taux_absentéisme_service_mois[[#This Row],[Mois]])</f>
        <v>33</v>
      </c>
      <c r="D217" s="65">
        <f>C217/(COUNTIF(personel!H:H,Synthèse_Absences!A217)*20)</f>
        <v>4.1250000000000002E-2</v>
      </c>
    </row>
    <row r="218" spans="1:4" x14ac:dyDescent="0.25">
      <c r="A218" s="63" t="s">
        <v>38</v>
      </c>
      <c r="B218" s="53">
        <v>45413</v>
      </c>
      <c r="C218" s="50">
        <f>SUMIFS(absences!E:E, absences!B:B, Taux_absentéisme_service_mois[[#This Row],[Service]], absences!C:C, Taux_absentéisme_service_mois[[#This Row],[Mois]])</f>
        <v>20</v>
      </c>
      <c r="D218" s="65">
        <f>C218/(COUNTIF(personel!H:H,Synthèse_Absences!A218)*20)</f>
        <v>2.5000000000000001E-2</v>
      </c>
    </row>
    <row r="219" spans="1:4" x14ac:dyDescent="0.25">
      <c r="A219" s="63" t="s">
        <v>38</v>
      </c>
      <c r="B219" s="53">
        <v>45444</v>
      </c>
      <c r="C219" s="50">
        <f>SUMIFS(absences!E:E, absences!B:B, Taux_absentéisme_service_mois[[#This Row],[Service]], absences!C:C, Taux_absentéisme_service_mois[[#This Row],[Mois]])</f>
        <v>8</v>
      </c>
      <c r="D219" s="65">
        <f>C219/(COUNTIF(personel!H:H,Synthèse_Absences!A219)*20)</f>
        <v>0.01</v>
      </c>
    </row>
    <row r="220" spans="1:4" x14ac:dyDescent="0.25">
      <c r="A220" s="64" t="s">
        <v>38</v>
      </c>
      <c r="B220" s="54">
        <v>45474</v>
      </c>
      <c r="C220" s="50">
        <f>SUMIFS(absences!E:E, absences!B:B, Taux_absentéisme_service_mois[[#This Row],[Service]], absences!C:C, Taux_absentéisme_service_mois[[#This Row],[Mois]])</f>
        <v>17</v>
      </c>
      <c r="D220" s="65">
        <f>C220/(COUNTIF(personel!H:H,Synthèse_Absences!A220)*20)</f>
        <v>2.1250000000000002E-2</v>
      </c>
    </row>
    <row r="221" spans="1:4" x14ac:dyDescent="0.25">
      <c r="A221" s="64" t="s">
        <v>38</v>
      </c>
      <c r="B221" s="54">
        <v>45505</v>
      </c>
      <c r="C221" s="50">
        <f>SUMIFS(absences!E:E, absences!B:B, Taux_absentéisme_service_mois[[#This Row],[Service]], absences!C:C, Taux_absentéisme_service_mois[[#This Row],[Mois]])</f>
        <v>20</v>
      </c>
      <c r="D221" s="65">
        <f>C221/(COUNTIF(personel!H:H,Synthèse_Absences!A221)*20)</f>
        <v>2.5000000000000001E-2</v>
      </c>
    </row>
    <row r="222" spans="1:4" x14ac:dyDescent="0.25">
      <c r="A222" s="63" t="s">
        <v>38</v>
      </c>
      <c r="B222" s="53">
        <v>45536</v>
      </c>
      <c r="C222" s="50">
        <f>SUMIFS(absences!E:E, absences!B:B, Taux_absentéisme_service_mois[[#This Row],[Service]], absences!C:C, Taux_absentéisme_service_mois[[#This Row],[Mois]])</f>
        <v>21</v>
      </c>
      <c r="D222" s="65">
        <f>C222/(COUNTIF(personel!H:H,Synthèse_Absences!A222)*20)</f>
        <v>2.6249999999999999E-2</v>
      </c>
    </row>
    <row r="223" spans="1:4" x14ac:dyDescent="0.25">
      <c r="A223" s="64" t="s">
        <v>38</v>
      </c>
      <c r="B223" s="54">
        <v>45566</v>
      </c>
      <c r="C223" s="50">
        <f>SUMIFS(absences!E:E, absences!B:B, Taux_absentéisme_service_mois[[#This Row],[Service]], absences!C:C, Taux_absentéisme_service_mois[[#This Row],[Mois]])</f>
        <v>23</v>
      </c>
      <c r="D223" s="65">
        <f>C223/(COUNTIF(personel!H:H,Synthèse_Absences!A223)*20)</f>
        <v>2.8750000000000001E-2</v>
      </c>
    </row>
    <row r="224" spans="1:4" x14ac:dyDescent="0.25">
      <c r="A224" s="64" t="s">
        <v>38</v>
      </c>
      <c r="B224" s="54">
        <v>45597</v>
      </c>
      <c r="C224" s="50">
        <f>SUMIFS(absences!E:E, absences!B:B, Taux_absentéisme_service_mois[[#This Row],[Service]], absences!C:C, Taux_absentéisme_service_mois[[#This Row],[Mois]])</f>
        <v>21</v>
      </c>
      <c r="D224" s="65">
        <f>C224/(COUNTIF(personel!H:H,Synthèse_Absences!A224)*20)</f>
        <v>2.6249999999999999E-2</v>
      </c>
    </row>
    <row r="225" spans="1:4" x14ac:dyDescent="0.25">
      <c r="A225" s="64" t="s">
        <v>38</v>
      </c>
      <c r="B225" s="54">
        <v>45627</v>
      </c>
      <c r="C225" s="50">
        <f>SUMIFS(absences!E:E, absences!B:B, Taux_absentéisme_service_mois[[#This Row],[Service]], absences!C:C, Taux_absentéisme_service_mois[[#This Row],[Mois]])</f>
        <v>24</v>
      </c>
      <c r="D225" s="65">
        <f>C225/(COUNTIF(personel!H:H,Synthèse_Absences!A225)*20)</f>
        <v>0.03</v>
      </c>
    </row>
    <row r="226" spans="1:4" x14ac:dyDescent="0.25">
      <c r="A226" s="66" t="s">
        <v>25</v>
      </c>
      <c r="B226" s="55">
        <v>45292</v>
      </c>
      <c r="C226" s="51">
        <f>SUMIFS(absences!E:E, absences!B:B, Taux_absentéisme_service_mois[[#This Row],[Service]], absences!C:C, Taux_absentéisme_service_mois[[#This Row],[Mois]])</f>
        <v>36</v>
      </c>
      <c r="D226" s="67">
        <f>C226/(COUNTIF(personel!H:H,Synthèse_Absences!A226)*20)</f>
        <v>3.9130434782608699E-2</v>
      </c>
    </row>
    <row r="227" spans="1:4" x14ac:dyDescent="0.25">
      <c r="A227" s="68" t="s">
        <v>25</v>
      </c>
      <c r="B227" s="56">
        <v>45323</v>
      </c>
      <c r="C227" s="51">
        <f>SUMIFS(absences!E:E, absences!B:B, Taux_absentéisme_service_mois[[#This Row],[Service]], absences!C:C, Taux_absentéisme_service_mois[[#This Row],[Mois]])</f>
        <v>5</v>
      </c>
      <c r="D227" s="67">
        <f>C227/(COUNTIF(personel!H:H,Synthèse_Absences!A227)*20)</f>
        <v>5.434782608695652E-3</v>
      </c>
    </row>
    <row r="228" spans="1:4" x14ac:dyDescent="0.25">
      <c r="A228" s="68" t="s">
        <v>25</v>
      </c>
      <c r="B228" s="56">
        <v>45352</v>
      </c>
      <c r="C228" s="51">
        <f>SUMIFS(absences!E:E, absences!B:B, Taux_absentéisme_service_mois[[#This Row],[Service]], absences!C:C, Taux_absentéisme_service_mois[[#This Row],[Mois]])</f>
        <v>14</v>
      </c>
      <c r="D228" s="67">
        <f>C228/(COUNTIF(personel!H:H,Synthèse_Absences!A228)*20)</f>
        <v>1.5217391304347827E-2</v>
      </c>
    </row>
    <row r="229" spans="1:4" x14ac:dyDescent="0.25">
      <c r="A229" s="66" t="s">
        <v>25</v>
      </c>
      <c r="B229" s="55">
        <v>45383</v>
      </c>
      <c r="C229" s="51">
        <f>SUMIFS(absences!E:E, absences!B:B, Taux_absentéisme_service_mois[[#This Row],[Service]], absences!C:C, Taux_absentéisme_service_mois[[#This Row],[Mois]])</f>
        <v>13</v>
      </c>
      <c r="D229" s="67">
        <f>C229/(COUNTIF(personel!H:H,Synthèse_Absences!A229)*20)</f>
        <v>1.4130434782608696E-2</v>
      </c>
    </row>
    <row r="230" spans="1:4" x14ac:dyDescent="0.25">
      <c r="A230" s="66" t="s">
        <v>25</v>
      </c>
      <c r="B230" s="55">
        <v>45413</v>
      </c>
      <c r="C230" s="51">
        <f>SUMIFS(absences!E:E, absences!B:B, Taux_absentéisme_service_mois[[#This Row],[Service]], absences!C:C, Taux_absentéisme_service_mois[[#This Row],[Mois]])</f>
        <v>31</v>
      </c>
      <c r="D230" s="67">
        <f>C230/(COUNTIF(personel!H:H,Synthèse_Absences!A230)*20)</f>
        <v>3.3695652173913043E-2</v>
      </c>
    </row>
    <row r="231" spans="1:4" x14ac:dyDescent="0.25">
      <c r="A231" s="66" t="s">
        <v>25</v>
      </c>
      <c r="B231" s="55">
        <v>45444</v>
      </c>
      <c r="C231" s="51">
        <f>SUMIFS(absences!E:E, absences!B:B, Taux_absentéisme_service_mois[[#This Row],[Service]], absences!C:C, Taux_absentéisme_service_mois[[#This Row],[Mois]])</f>
        <v>21</v>
      </c>
      <c r="D231" s="67">
        <f>C231/(COUNTIF(personel!H:H,Synthèse_Absences!A231)*20)</f>
        <v>2.2826086956521739E-2</v>
      </c>
    </row>
    <row r="232" spans="1:4" x14ac:dyDescent="0.25">
      <c r="A232" s="68" t="s">
        <v>25</v>
      </c>
      <c r="B232" s="56">
        <v>45474</v>
      </c>
      <c r="C232" s="51">
        <f>SUMIFS(absences!E:E, absences!B:B, Taux_absentéisme_service_mois[[#This Row],[Service]], absences!C:C, Taux_absentéisme_service_mois[[#This Row],[Mois]])</f>
        <v>28</v>
      </c>
      <c r="D232" s="67">
        <f>C232/(COUNTIF(personel!H:H,Synthèse_Absences!A232)*20)</f>
        <v>3.0434782608695653E-2</v>
      </c>
    </row>
    <row r="233" spans="1:4" x14ac:dyDescent="0.25">
      <c r="A233" s="68" t="s">
        <v>25</v>
      </c>
      <c r="B233" s="56">
        <v>45505</v>
      </c>
      <c r="C233" s="51">
        <f>SUMIFS(absences!E:E, absences!B:B, Taux_absentéisme_service_mois[[#This Row],[Service]], absences!C:C, Taux_absentéisme_service_mois[[#This Row],[Mois]])</f>
        <v>22</v>
      </c>
      <c r="D233" s="67">
        <f>C233/(COUNTIF(personel!H:H,Synthèse_Absences!A233)*20)</f>
        <v>2.391304347826087E-2</v>
      </c>
    </row>
    <row r="234" spans="1:4" x14ac:dyDescent="0.25">
      <c r="A234" s="66" t="s">
        <v>25</v>
      </c>
      <c r="B234" s="55">
        <v>45536</v>
      </c>
      <c r="C234" s="51">
        <f>SUMIFS(absences!E:E, absences!B:B, Taux_absentéisme_service_mois[[#This Row],[Service]], absences!C:C, Taux_absentéisme_service_mois[[#This Row],[Mois]])</f>
        <v>25</v>
      </c>
      <c r="D234" s="67">
        <f>C234/(COUNTIF(personel!H:H,Synthèse_Absences!A234)*20)</f>
        <v>2.717391304347826E-2</v>
      </c>
    </row>
    <row r="235" spans="1:4" x14ac:dyDescent="0.25">
      <c r="A235" s="66" t="s">
        <v>25</v>
      </c>
      <c r="B235" s="55">
        <v>45566</v>
      </c>
      <c r="C235" s="51">
        <f>SUMIFS(absences!E:E, absences!B:B, Taux_absentéisme_service_mois[[#This Row],[Service]], absences!C:C, Taux_absentéisme_service_mois[[#This Row],[Mois]])</f>
        <v>22</v>
      </c>
      <c r="D235" s="67">
        <f>C235/(COUNTIF(personel!H:H,Synthèse_Absences!A235)*20)</f>
        <v>2.391304347826087E-2</v>
      </c>
    </row>
    <row r="236" spans="1:4" x14ac:dyDescent="0.25">
      <c r="A236" s="68" t="s">
        <v>25</v>
      </c>
      <c r="B236" s="56">
        <v>45597</v>
      </c>
      <c r="C236" s="51">
        <f>SUMIFS(absences!E:E, absences!B:B, Taux_absentéisme_service_mois[[#This Row],[Service]], absences!C:C, Taux_absentéisme_service_mois[[#This Row],[Mois]])</f>
        <v>11</v>
      </c>
      <c r="D236" s="67">
        <f>C236/(COUNTIF(personel!H:H,Synthèse_Absences!A236)*20)</f>
        <v>1.1956521739130435E-2</v>
      </c>
    </row>
    <row r="237" spans="1:4" x14ac:dyDescent="0.25">
      <c r="A237" s="66" t="s">
        <v>25</v>
      </c>
      <c r="B237" s="55">
        <v>45627</v>
      </c>
      <c r="C237" s="51">
        <f>SUMIFS(absences!E:E, absences!B:B, Taux_absentéisme_service_mois[[#This Row],[Service]], absences!C:C, Taux_absentéisme_service_mois[[#This Row],[Mois]])</f>
        <v>12</v>
      </c>
      <c r="D237" s="67">
        <f>C237/(COUNTIF(personel!H:H,Synthèse_Absences!A237)*20)</f>
        <v>1.3043478260869565E-2</v>
      </c>
    </row>
    <row r="238" spans="1:4" x14ac:dyDescent="0.25">
      <c r="A238" s="64" t="s">
        <v>15</v>
      </c>
      <c r="B238" s="54">
        <v>45292</v>
      </c>
      <c r="C238" s="50">
        <f>SUMIFS(absences!E:E, absences!B:B, Taux_absentéisme_service_mois[[#This Row],[Service]], absences!C:C, Taux_absentéisme_service_mois[[#This Row],[Mois]])</f>
        <v>17</v>
      </c>
      <c r="D238" s="65">
        <f>C238/(COUNTIF(personel!H:H,Synthèse_Absences!A238)*20)</f>
        <v>1.8085106382978722E-2</v>
      </c>
    </row>
    <row r="239" spans="1:4" x14ac:dyDescent="0.25">
      <c r="A239" s="64" t="s">
        <v>15</v>
      </c>
      <c r="B239" s="54">
        <v>45323</v>
      </c>
      <c r="C239" s="50">
        <f>SUMIFS(absences!E:E, absences!B:B, Taux_absentéisme_service_mois[[#This Row],[Service]], absences!C:C, Taux_absentéisme_service_mois[[#This Row],[Mois]])</f>
        <v>45</v>
      </c>
      <c r="D239" s="65">
        <f>C239/(COUNTIF(personel!H:H,Synthèse_Absences!A239)*20)</f>
        <v>4.7872340425531915E-2</v>
      </c>
    </row>
    <row r="240" spans="1:4" x14ac:dyDescent="0.25">
      <c r="A240" s="64" t="s">
        <v>15</v>
      </c>
      <c r="B240" s="54">
        <v>45352</v>
      </c>
      <c r="C240" s="50">
        <f>SUMIFS(absences!E:E, absences!B:B, Taux_absentéisme_service_mois[[#This Row],[Service]], absences!C:C, Taux_absentéisme_service_mois[[#This Row],[Mois]])</f>
        <v>20</v>
      </c>
      <c r="D240" s="65">
        <f>C240/(COUNTIF(personel!H:H,Synthèse_Absences!A240)*20)</f>
        <v>2.1276595744680851E-2</v>
      </c>
    </row>
    <row r="241" spans="1:4" x14ac:dyDescent="0.25">
      <c r="A241" s="63" t="s">
        <v>15</v>
      </c>
      <c r="B241" s="53">
        <v>45383</v>
      </c>
      <c r="C241" s="50">
        <f>SUMIFS(absences!E:E, absences!B:B, Taux_absentéisme_service_mois[[#This Row],[Service]], absences!C:C, Taux_absentéisme_service_mois[[#This Row],[Mois]])</f>
        <v>18</v>
      </c>
      <c r="D241" s="65">
        <f>C241/(COUNTIF(personel!H:H,Synthèse_Absences!A241)*20)</f>
        <v>1.9148936170212766E-2</v>
      </c>
    </row>
    <row r="242" spans="1:4" x14ac:dyDescent="0.25">
      <c r="A242" s="64" t="s">
        <v>15</v>
      </c>
      <c r="B242" s="54">
        <v>45413</v>
      </c>
      <c r="C242" s="50">
        <f>SUMIFS(absences!E:E, absences!B:B, Taux_absentéisme_service_mois[[#This Row],[Service]], absences!C:C, Taux_absentéisme_service_mois[[#This Row],[Mois]])</f>
        <v>29</v>
      </c>
      <c r="D242" s="65">
        <f>C242/(COUNTIF(personel!H:H,Synthèse_Absences!A242)*20)</f>
        <v>3.0851063829787233E-2</v>
      </c>
    </row>
    <row r="243" spans="1:4" x14ac:dyDescent="0.25">
      <c r="A243" s="63" t="s">
        <v>15</v>
      </c>
      <c r="B243" s="53">
        <v>45444</v>
      </c>
      <c r="C243" s="50">
        <f>SUMIFS(absences!E:E, absences!B:B, Taux_absentéisme_service_mois[[#This Row],[Service]], absences!C:C, Taux_absentéisme_service_mois[[#This Row],[Mois]])</f>
        <v>7</v>
      </c>
      <c r="D243" s="65">
        <f>C243/(COUNTIF(personel!H:H,Synthèse_Absences!A243)*20)</f>
        <v>7.4468085106382982E-3</v>
      </c>
    </row>
    <row r="244" spans="1:4" x14ac:dyDescent="0.25">
      <c r="A244" s="63" t="s">
        <v>15</v>
      </c>
      <c r="B244" s="53">
        <v>45474</v>
      </c>
      <c r="C244" s="50">
        <f>SUMIFS(absences!E:E, absences!B:B, Taux_absentéisme_service_mois[[#This Row],[Service]], absences!C:C, Taux_absentéisme_service_mois[[#This Row],[Mois]])</f>
        <v>14</v>
      </c>
      <c r="D244" s="65">
        <f>C244/(COUNTIF(personel!H:H,Synthèse_Absences!A244)*20)</f>
        <v>1.4893617021276596E-2</v>
      </c>
    </row>
    <row r="245" spans="1:4" x14ac:dyDescent="0.25">
      <c r="A245" s="63" t="s">
        <v>15</v>
      </c>
      <c r="B245" s="53">
        <v>45505</v>
      </c>
      <c r="C245" s="50">
        <f>SUMIFS(absences!E:E, absences!B:B, Taux_absentéisme_service_mois[[#This Row],[Service]], absences!C:C, Taux_absentéisme_service_mois[[#This Row],[Mois]])</f>
        <v>30</v>
      </c>
      <c r="D245" s="65">
        <f>C245/(COUNTIF(personel!H:H,Synthèse_Absences!A245)*20)</f>
        <v>3.1914893617021274E-2</v>
      </c>
    </row>
    <row r="246" spans="1:4" x14ac:dyDescent="0.25">
      <c r="A246" s="63" t="s">
        <v>15</v>
      </c>
      <c r="B246" s="53">
        <v>45536</v>
      </c>
      <c r="C246" s="50">
        <f>SUMIFS(absences!E:E, absences!B:B, Taux_absentéisme_service_mois[[#This Row],[Service]], absences!C:C, Taux_absentéisme_service_mois[[#This Row],[Mois]])</f>
        <v>21</v>
      </c>
      <c r="D246" s="65">
        <f>C246/(COUNTIF(personel!H:H,Synthèse_Absences!A246)*20)</f>
        <v>2.2340425531914895E-2</v>
      </c>
    </row>
    <row r="247" spans="1:4" x14ac:dyDescent="0.25">
      <c r="A247" s="64" t="s">
        <v>15</v>
      </c>
      <c r="B247" s="54">
        <v>45566</v>
      </c>
      <c r="C247" s="50">
        <f>SUMIFS(absences!E:E, absences!B:B, Taux_absentéisme_service_mois[[#This Row],[Service]], absences!C:C, Taux_absentéisme_service_mois[[#This Row],[Mois]])</f>
        <v>42</v>
      </c>
      <c r="D247" s="65">
        <f>C247/(COUNTIF(personel!H:H,Synthèse_Absences!A247)*20)</f>
        <v>4.4680851063829789E-2</v>
      </c>
    </row>
    <row r="248" spans="1:4" x14ac:dyDescent="0.25">
      <c r="A248" s="63" t="s">
        <v>15</v>
      </c>
      <c r="B248" s="53">
        <v>45597</v>
      </c>
      <c r="C248" s="50">
        <f>SUMIFS(absences!E:E, absences!B:B, Taux_absentéisme_service_mois[[#This Row],[Service]], absences!C:C, Taux_absentéisme_service_mois[[#This Row],[Mois]])</f>
        <v>20</v>
      </c>
      <c r="D248" s="65">
        <f>C248/(COUNTIF(personel!H:H,Synthèse_Absences!A248)*20)</f>
        <v>2.1276595744680851E-2</v>
      </c>
    </row>
    <row r="249" spans="1:4" x14ac:dyDescent="0.25">
      <c r="A249" s="63" t="s">
        <v>15</v>
      </c>
      <c r="B249" s="53">
        <v>45627</v>
      </c>
      <c r="C249" s="50">
        <f>SUMIFS(absences!E:E, absences!B:B, Taux_absentéisme_service_mois[[#This Row],[Service]], absences!C:C, Taux_absentéisme_service_mois[[#This Row],[Mois]])</f>
        <v>35</v>
      </c>
      <c r="D249" s="65">
        <f>C249/(COUNTIF(personel!H:H,Synthèse_Absences!A249)*20)</f>
        <v>3.7234042553191488E-2</v>
      </c>
    </row>
    <row r="250" spans="1:4" x14ac:dyDescent="0.25">
      <c r="A250" s="66" t="s">
        <v>34</v>
      </c>
      <c r="B250" s="55">
        <v>45292</v>
      </c>
      <c r="C250" s="51">
        <f>SUMIFS(absences!E:E, absences!B:B, Taux_absentéisme_service_mois[[#This Row],[Service]], absences!C:C, Taux_absentéisme_service_mois[[#This Row],[Mois]])</f>
        <v>11</v>
      </c>
      <c r="D250" s="67">
        <f>C250/(COUNTIF(personel!H:H,Synthèse_Absences!A250)*20)</f>
        <v>1.3414634146341463E-2</v>
      </c>
    </row>
    <row r="251" spans="1:4" x14ac:dyDescent="0.25">
      <c r="A251" s="66" t="s">
        <v>34</v>
      </c>
      <c r="B251" s="55">
        <v>45323</v>
      </c>
      <c r="C251" s="51">
        <f>SUMIFS(absences!E:E, absences!B:B, Taux_absentéisme_service_mois[[#This Row],[Service]], absences!C:C, Taux_absentéisme_service_mois[[#This Row],[Mois]])</f>
        <v>26</v>
      </c>
      <c r="D251" s="67">
        <f>C251/(COUNTIF(personel!H:H,Synthèse_Absences!A251)*20)</f>
        <v>3.1707317073170732E-2</v>
      </c>
    </row>
    <row r="252" spans="1:4" x14ac:dyDescent="0.25">
      <c r="A252" s="66" t="s">
        <v>34</v>
      </c>
      <c r="B252" s="55">
        <v>45352</v>
      </c>
      <c r="C252" s="51">
        <f>SUMIFS(absences!E:E, absences!B:B, Taux_absentéisme_service_mois[[#This Row],[Service]], absences!C:C, Taux_absentéisme_service_mois[[#This Row],[Mois]])</f>
        <v>12</v>
      </c>
      <c r="D252" s="67">
        <f>C252/(COUNTIF(personel!H:H,Synthèse_Absences!A252)*20)</f>
        <v>1.4634146341463415E-2</v>
      </c>
    </row>
    <row r="253" spans="1:4" x14ac:dyDescent="0.25">
      <c r="A253" s="68" t="s">
        <v>34</v>
      </c>
      <c r="B253" s="56">
        <v>45383</v>
      </c>
      <c r="C253" s="51">
        <f>SUMIFS(absences!E:E, absences!B:B, Taux_absentéisme_service_mois[[#This Row],[Service]], absences!C:C, Taux_absentéisme_service_mois[[#This Row],[Mois]])</f>
        <v>7</v>
      </c>
      <c r="D253" s="67">
        <f>C253/(COUNTIF(personel!H:H,Synthèse_Absences!A253)*20)</f>
        <v>8.5365853658536592E-3</v>
      </c>
    </row>
    <row r="254" spans="1:4" x14ac:dyDescent="0.25">
      <c r="A254" s="68" t="s">
        <v>34</v>
      </c>
      <c r="B254" s="56">
        <v>45413</v>
      </c>
      <c r="C254" s="51">
        <f>SUMIFS(absences!E:E, absences!B:B, Taux_absentéisme_service_mois[[#This Row],[Service]], absences!C:C, Taux_absentéisme_service_mois[[#This Row],[Mois]])</f>
        <v>10</v>
      </c>
      <c r="D254" s="67">
        <f>C254/(COUNTIF(personel!H:H,Synthèse_Absences!A254)*20)</f>
        <v>1.2195121951219513E-2</v>
      </c>
    </row>
    <row r="255" spans="1:4" x14ac:dyDescent="0.25">
      <c r="A255" s="66" t="s">
        <v>34</v>
      </c>
      <c r="B255" s="55">
        <v>45474</v>
      </c>
      <c r="C255" s="51">
        <f>SUMIFS(absences!E:E, absences!B:B, Taux_absentéisme_service_mois[[#This Row],[Service]], absences!C:C, Taux_absentéisme_service_mois[[#This Row],[Mois]])</f>
        <v>18</v>
      </c>
      <c r="D255" s="67">
        <f>C255/(COUNTIF(personel!H:H,Synthèse_Absences!A255)*20)</f>
        <v>2.1951219512195121E-2</v>
      </c>
    </row>
    <row r="256" spans="1:4" x14ac:dyDescent="0.25">
      <c r="A256" s="68" t="s">
        <v>34</v>
      </c>
      <c r="B256" s="56">
        <v>45505</v>
      </c>
      <c r="C256" s="51">
        <f>SUMIFS(absences!E:E, absences!B:B, Taux_absentéisme_service_mois[[#This Row],[Service]], absences!C:C, Taux_absentéisme_service_mois[[#This Row],[Mois]])</f>
        <v>1</v>
      </c>
      <c r="D256" s="67">
        <f>C256/(COUNTIF(personel!H:H,Synthèse_Absences!A256)*20)</f>
        <v>1.2195121951219512E-3</v>
      </c>
    </row>
    <row r="257" spans="1:4" x14ac:dyDescent="0.25">
      <c r="A257" s="66" t="s">
        <v>34</v>
      </c>
      <c r="B257" s="55">
        <v>45536</v>
      </c>
      <c r="C257" s="51">
        <f>SUMIFS(absences!E:E, absences!B:B, Taux_absentéisme_service_mois[[#This Row],[Service]], absences!C:C, Taux_absentéisme_service_mois[[#This Row],[Mois]])</f>
        <v>21</v>
      </c>
      <c r="D257" s="67">
        <f>C257/(COUNTIF(personel!H:H,Synthèse_Absences!A257)*20)</f>
        <v>2.5609756097560974E-2</v>
      </c>
    </row>
    <row r="258" spans="1:4" x14ac:dyDescent="0.25">
      <c r="A258" s="66" t="s">
        <v>34</v>
      </c>
      <c r="B258" s="55">
        <v>45566</v>
      </c>
      <c r="C258" s="51">
        <f>SUMIFS(absences!E:E, absences!B:B, Taux_absentéisme_service_mois[[#This Row],[Service]], absences!C:C, Taux_absentéisme_service_mois[[#This Row],[Mois]])</f>
        <v>19</v>
      </c>
      <c r="D258" s="67">
        <f>C258/(COUNTIF(personel!H:H,Synthèse_Absences!A258)*20)</f>
        <v>2.3170731707317073E-2</v>
      </c>
    </row>
    <row r="259" spans="1:4" x14ac:dyDescent="0.25">
      <c r="A259" s="66" t="s">
        <v>34</v>
      </c>
      <c r="B259" s="55">
        <v>45597</v>
      </c>
      <c r="C259" s="51">
        <f>SUMIFS(absences!E:E, absences!B:B, Taux_absentéisme_service_mois[[#This Row],[Service]], absences!C:C, Taux_absentéisme_service_mois[[#This Row],[Mois]])</f>
        <v>6</v>
      </c>
      <c r="D259" s="67">
        <f>C259/(COUNTIF(personel!H:H,Synthèse_Absences!A259)*20)</f>
        <v>7.3170731707317077E-3</v>
      </c>
    </row>
    <row r="260" spans="1:4" x14ac:dyDescent="0.25">
      <c r="A260" s="69" t="s">
        <v>34</v>
      </c>
      <c r="B260" s="70">
        <v>45627</v>
      </c>
      <c r="C260" s="71">
        <f>SUMIFS(absences!E:E, absences!B:B, Taux_absentéisme_service_mois[[#This Row],[Service]], absences!C:C, Taux_absentéisme_service_mois[[#This Row],[Mois]])</f>
        <v>28</v>
      </c>
      <c r="D260" s="72">
        <f>C260/(COUNTIF(personel!H:H,Synthèse_Absences!A260)*20)</f>
        <v>3.4146341463414637E-2</v>
      </c>
    </row>
  </sheetData>
  <mergeCells count="2">
    <mergeCell ref="A1:B1"/>
    <mergeCell ref="A188:D18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rowBreaks count="5" manualBreakCount="5">
    <brk id="201" max="16383" man="1"/>
    <brk id="213" max="16383" man="1"/>
    <brk id="225" max="16383" man="1"/>
    <brk id="237" max="16383" man="1"/>
    <brk id="249" max="16383" man="1"/>
  </rowBreaks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F1EE-0814-44BB-AB0E-59BD98B484FC}">
  <sheetPr>
    <tabColor rgb="FFFFFF00"/>
  </sheetPr>
  <dimension ref="F7:M14"/>
  <sheetViews>
    <sheetView showGridLines="0" workbookViewId="0"/>
  </sheetViews>
  <sheetFormatPr baseColWidth="10" defaultRowHeight="15" x14ac:dyDescent="0.25"/>
  <cols>
    <col min="13" max="13" width="16" bestFit="1" customWidth="1"/>
  </cols>
  <sheetData>
    <row r="7" spans="6:13" ht="18.75" x14ac:dyDescent="0.3">
      <c r="J7" s="77" t="s">
        <v>659</v>
      </c>
      <c r="K7" s="77"/>
      <c r="L7" s="77"/>
      <c r="M7" s="77"/>
    </row>
    <row r="8" spans="6:13" ht="15.75" customHeight="1" x14ac:dyDescent="0.25">
      <c r="F8" s="81">
        <f>COUNTA(personel!A:A) -1</f>
        <v>250</v>
      </c>
      <c r="G8" s="81"/>
      <c r="J8" t="s">
        <v>7</v>
      </c>
      <c r="K8" t="s">
        <v>660</v>
      </c>
      <c r="L8" s="1" t="s">
        <v>661</v>
      </c>
      <c r="M8" t="s">
        <v>662</v>
      </c>
    </row>
    <row r="9" spans="6:13" x14ac:dyDescent="0.25">
      <c r="F9" s="81"/>
      <c r="G9" s="81"/>
      <c r="J9" t="s">
        <v>21</v>
      </c>
      <c r="K9">
        <f>COUNTIF(quittances[Service],Taux_de_départ_par_service12[[#This Row],[Service]])</f>
        <v>7</v>
      </c>
      <c r="L9" s="36">
        <f>COUNTIF(personel!Q:Q,Taux_de_départ_par_service12[[#This Row],[Service]])</f>
        <v>0</v>
      </c>
      <c r="M9" s="49">
        <f>turnover!B36/turnover!C36</f>
        <v>0.17499999999999999</v>
      </c>
    </row>
    <row r="10" spans="6:13" x14ac:dyDescent="0.25">
      <c r="J10" t="s">
        <v>49</v>
      </c>
      <c r="K10">
        <f>COUNTIF(quittances[Service],Taux_de_départ_par_service12[[#This Row],[Service]])</f>
        <v>7</v>
      </c>
      <c r="L10" s="36">
        <f>COUNTIF(personel!Q:Q,Taux_de_départ_par_service12[[#This Row],[Service]])</f>
        <v>0</v>
      </c>
      <c r="M10" s="49">
        <f>turnover!B37/turnover!C37</f>
        <v>0.19444444444444445</v>
      </c>
    </row>
    <row r="11" spans="6:13" x14ac:dyDescent="0.25">
      <c r="J11" t="s">
        <v>38</v>
      </c>
      <c r="K11">
        <f>COUNTIF(quittances[Service],Taux_de_départ_par_service12[[#This Row],[Service]])</f>
        <v>4</v>
      </c>
      <c r="L11" s="36">
        <f>COUNTIF(personel!Q:Q,Taux_de_départ_par_service12[[#This Row],[Service]])</f>
        <v>0</v>
      </c>
      <c r="M11" s="49">
        <f>turnover!B38/turnover!C38</f>
        <v>0.1</v>
      </c>
    </row>
    <row r="12" spans="6:13" x14ac:dyDescent="0.25">
      <c r="J12" t="s">
        <v>25</v>
      </c>
      <c r="K12">
        <f>COUNTIF(quittances[Service],Taux_de_départ_par_service12[[#This Row],[Service]])</f>
        <v>4</v>
      </c>
      <c r="L12" s="36">
        <f>COUNTIF(personel!Q:Q,Taux_de_départ_par_service12[[#This Row],[Service]])</f>
        <v>0</v>
      </c>
      <c r="M12" s="49">
        <f>turnover!B39/turnover!C39</f>
        <v>8.6956521739130432E-2</v>
      </c>
    </row>
    <row r="13" spans="6:13" ht="15.75" customHeight="1" x14ac:dyDescent="0.25">
      <c r="F13" s="81">
        <f ca="1">COUNTIFS(quittances[Date de départ], "&gt;=" &amp; DATE(YEAR(TODAY()), 1, 1), quittances[Date de départ], "&lt;=" &amp; DATE(YEAR(TODAY()), 12, 31))</f>
        <v>0</v>
      </c>
      <c r="G13" s="81"/>
      <c r="J13" t="s">
        <v>15</v>
      </c>
      <c r="K13">
        <f>COUNTIF(quittances[Service],Taux_de_départ_par_service12[[#This Row],[Service]])</f>
        <v>4</v>
      </c>
      <c r="L13" s="36">
        <f>COUNTIF(personel!Q:Q,Taux_de_départ_par_service12[[#This Row],[Service]])</f>
        <v>0</v>
      </c>
      <c r="M13" s="49">
        <f>turnover!B40/turnover!C40</f>
        <v>8.5106382978723402E-2</v>
      </c>
    </row>
    <row r="14" spans="6:13" x14ac:dyDescent="0.25">
      <c r="F14" s="81"/>
      <c r="G14" s="81"/>
      <c r="J14" t="s">
        <v>34</v>
      </c>
      <c r="K14">
        <f>COUNTIF(quittances[Service],Taux_de_départ_par_service12[[#This Row],[Service]])</f>
        <v>4</v>
      </c>
      <c r="L14" s="36">
        <f>COUNTIF(personel!Q:Q,Taux_de_départ_par_service12[[#This Row],[Service]])</f>
        <v>0</v>
      </c>
      <c r="M14" s="49">
        <f>turnover!B41/turnover!C41</f>
        <v>9.7560975609756101E-2</v>
      </c>
    </row>
  </sheetData>
  <mergeCells count="3">
    <mergeCell ref="J7:M7"/>
    <mergeCell ref="F8:G9"/>
    <mergeCell ref="F13:G14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029E725-BBFA-4070-9C30-D976A9B413EB}">
            <x14:iconSet iconSet="3Flags" custom="1">
              <x14:cfvo type="percent">
                <xm:f>0</xm:f>
              </x14:cfvo>
              <x14:cfvo type="percent">
                <xm:f>10</xm:f>
              </x14:cfvo>
              <x14:cfvo type="percent">
                <xm:f>15</xm:f>
              </x14:cfvo>
              <x14:cfIcon iconSet="3Flags" iconId="2"/>
              <x14:cfIcon iconSet="3Flags" iconId="1"/>
              <x14:cfIcon iconSet="3Flags" iconId="0"/>
            </x14:iconSet>
          </x14:cfRule>
          <xm:sqref>M9:M14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5E8F-D70E-4EA3-B69A-4A8B03979606}">
  <dimension ref="A3:B16"/>
  <sheetViews>
    <sheetView workbookViewId="0">
      <selection activeCell="B4" sqref="B4"/>
    </sheetView>
  </sheetViews>
  <sheetFormatPr baseColWidth="10" defaultRowHeight="15" x14ac:dyDescent="0.25"/>
  <cols>
    <col min="1" max="1" width="20.25" bestFit="1" customWidth="1"/>
    <col min="2" max="2" width="25.375" bestFit="1" customWidth="1"/>
  </cols>
  <sheetData>
    <row r="3" spans="1:2" x14ac:dyDescent="0.25">
      <c r="A3" s="37" t="s">
        <v>645</v>
      </c>
      <c r="B3" t="s">
        <v>663</v>
      </c>
    </row>
    <row r="4" spans="1:2" x14ac:dyDescent="0.25">
      <c r="A4" s="38" t="s">
        <v>664</v>
      </c>
      <c r="B4">
        <v>136</v>
      </c>
    </row>
    <row r="5" spans="1:2" x14ac:dyDescent="0.25">
      <c r="A5" s="38" t="s">
        <v>665</v>
      </c>
      <c r="B5">
        <v>129</v>
      </c>
    </row>
    <row r="6" spans="1:2" x14ac:dyDescent="0.25">
      <c r="A6" s="38" t="s">
        <v>666</v>
      </c>
      <c r="B6">
        <v>93</v>
      </c>
    </row>
    <row r="7" spans="1:2" x14ac:dyDescent="0.25">
      <c r="A7" s="38" t="s">
        <v>667</v>
      </c>
      <c r="B7">
        <v>92</v>
      </c>
    </row>
    <row r="8" spans="1:2" x14ac:dyDescent="0.25">
      <c r="A8" s="38" t="s">
        <v>668</v>
      </c>
      <c r="B8">
        <v>183</v>
      </c>
    </row>
    <row r="9" spans="1:2" x14ac:dyDescent="0.25">
      <c r="A9" s="38" t="s">
        <v>669</v>
      </c>
      <c r="B9">
        <v>94</v>
      </c>
    </row>
    <row r="10" spans="1:2" x14ac:dyDescent="0.25">
      <c r="A10" s="38" t="s">
        <v>670</v>
      </c>
      <c r="B10">
        <v>126</v>
      </c>
    </row>
    <row r="11" spans="1:2" x14ac:dyDescent="0.25">
      <c r="A11" s="38" t="s">
        <v>671</v>
      </c>
      <c r="B11">
        <v>114</v>
      </c>
    </row>
    <row r="12" spans="1:2" x14ac:dyDescent="0.25">
      <c r="A12" s="38" t="s">
        <v>672</v>
      </c>
      <c r="B12">
        <v>143</v>
      </c>
    </row>
    <row r="13" spans="1:2" x14ac:dyDescent="0.25">
      <c r="A13" s="38" t="s">
        <v>673</v>
      </c>
      <c r="B13">
        <v>181</v>
      </c>
    </row>
    <row r="14" spans="1:2" x14ac:dyDescent="0.25">
      <c r="A14" s="38" t="s">
        <v>674</v>
      </c>
      <c r="B14">
        <v>110</v>
      </c>
    </row>
    <row r="15" spans="1:2" x14ac:dyDescent="0.25">
      <c r="A15" s="38" t="s">
        <v>675</v>
      </c>
      <c r="B15">
        <v>106</v>
      </c>
    </row>
    <row r="16" spans="1:2" x14ac:dyDescent="0.25">
      <c r="A16" s="38" t="s">
        <v>646</v>
      </c>
      <c r="B16">
        <v>1507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8B8B01-6C4F-4AE9-BAB2-0C989F4B82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2</vt:i4>
      </vt:variant>
    </vt:vector>
  </HeadingPairs>
  <TitlesOfParts>
    <vt:vector size="11" baseType="lpstr">
      <vt:lpstr>personel</vt:lpstr>
      <vt:lpstr>absences</vt:lpstr>
      <vt:lpstr>formations</vt:lpstr>
      <vt:lpstr>entretiens</vt:lpstr>
      <vt:lpstr>turnover</vt:lpstr>
      <vt:lpstr>Indicateurs RH</vt:lpstr>
      <vt:lpstr>Synthèse_Absences</vt:lpstr>
      <vt:lpstr>Tableau_de_bord</vt:lpstr>
      <vt:lpstr>TCD abs-mois</vt:lpstr>
      <vt:lpstr>Synthèse_Absences!Impression_des_titres</vt:lpstr>
      <vt:lpstr>Synthèse_Absences!Zone_d_impression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GROSMOUGIN</dc:creator>
  <cp:lastModifiedBy>Laetitia GROSMOUGIN</cp:lastModifiedBy>
  <cp:lastPrinted>2026-05-25T16:16:24Z</cp:lastPrinted>
  <dcterms:created xsi:type="dcterms:W3CDTF">2026-05-25T14:01:17Z</dcterms:created>
  <dcterms:modified xsi:type="dcterms:W3CDTF">2026-05-25T18:46:32Z</dcterms:modified>
</cp:coreProperties>
</file>